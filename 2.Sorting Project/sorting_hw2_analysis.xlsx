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araa\Downloads\University\2.2SM\2.Algo\projects\2.Sorting Project\"/>
    </mc:Choice>
  </mc:AlternateContent>
  <xr:revisionPtr revIDLastSave="0" documentId="13_ncr:1_{D15450AA-441A-4D32-BA69-AFF2D2A7DD1D}" xr6:coauthVersionLast="47" xr6:coauthVersionMax="47" xr10:uidLastSave="{00000000-0000-0000-0000-000000000000}"/>
  <bookViews>
    <workbookView xWindow="-108" yWindow="-108" windowWidth="23256" windowHeight="12456" activeTab="6" xr2:uid="{00000000-000D-0000-FFFF-FFFF00000000}"/>
  </bookViews>
  <sheets>
    <sheet name="Experiemnts result" sheetId="1" r:id="rId1"/>
    <sheet name="Selection" sheetId="2" r:id="rId2"/>
    <sheet name="Insertion" sheetId="3" r:id="rId3"/>
    <sheet name="Merge" sheetId="4" r:id="rId4"/>
    <sheet name="Quick" sheetId="5" r:id="rId5"/>
    <sheet name="Heap" sheetId="6" r:id="rId6"/>
    <sheet name="Counting"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7" l="1"/>
  <c r="D14" i="7"/>
  <c r="D13" i="7"/>
  <c r="D12" i="7"/>
  <c r="D15" i="6"/>
  <c r="D14" i="6"/>
  <c r="D13" i="6"/>
  <c r="D12" i="6"/>
  <c r="D15" i="5"/>
  <c r="D14" i="5"/>
  <c r="D13" i="5"/>
  <c r="D12" i="5"/>
  <c r="D15" i="4"/>
  <c r="D14" i="4"/>
  <c r="D13" i="4"/>
  <c r="D12" i="4"/>
  <c r="D15" i="3"/>
  <c r="D14" i="3"/>
  <c r="D13" i="3"/>
  <c r="D12" i="3"/>
  <c r="D15" i="2"/>
  <c r="D14" i="2"/>
  <c r="D13" i="2"/>
  <c r="D12" i="2"/>
</calcChain>
</file>

<file path=xl/sharedStrings.xml><?xml version="1.0" encoding="utf-8"?>
<sst xmlns="http://schemas.openxmlformats.org/spreadsheetml/2006/main" count="126" uniqueCount="34">
  <si>
    <t>Algorithm</t>
  </si>
  <si>
    <t>Selection</t>
  </si>
  <si>
    <t>Actual Time (Exp #1)</t>
  </si>
  <si>
    <t>Insertion</t>
  </si>
  <si>
    <t>Merge</t>
  </si>
  <si>
    <t>Quick</t>
  </si>
  <si>
    <t>Heap</t>
  </si>
  <si>
    <t>Counting</t>
  </si>
  <si>
    <t>Raw Results (Both Experiments)</t>
  </si>
  <si>
    <t>Size</t>
  </si>
  <si>
    <t>Fn</t>
  </si>
  <si>
    <t>Exp</t>
  </si>
  <si>
    <t>Time</t>
  </si>
  <si>
    <t>Selection Sort Analysis</t>
  </si>
  <si>
    <t>Complexity used for Graph 1: O(n^2). Graph 2 uses actual execution times from Experiment #1 only.</t>
  </si>
  <si>
    <t>F(n) Theoretical</t>
  </si>
  <si>
    <t>Exp #1</t>
  </si>
  <si>
    <t>Exp #2</t>
  </si>
  <si>
    <t>Average</t>
  </si>
  <si>
    <t>Comparison of the Two Graphs</t>
  </si>
  <si>
    <t>Insertion Sort Analysis</t>
  </si>
  <si>
    <t>Merge Sort Analysis</t>
  </si>
  <si>
    <t>Complexity used for Graph 1: O(n log n). Graph 2 uses actual execution times from Experiment #1 only.</t>
  </si>
  <si>
    <t>Quick Sort Analysis</t>
  </si>
  <si>
    <t>Complexity used for Graph 1: Worst: O(n^2), typical random-case behavior closer to O(n log n). Graph 2 uses actual execution times from Experiment #1 only.</t>
  </si>
  <si>
    <t>Quick Sort has a worst-case complexity of O(n^2), so the theoretical graph uses n^2. However, on these random inputs the actual times grow much more gently and look closer to O(n log n). This difference is expected because worst-case behavior did not occur in the experiment.</t>
  </si>
  <si>
    <t>Heap Sort Analysis</t>
  </si>
  <si>
    <t>Counting Sort Analysis</t>
  </si>
  <si>
    <t>Complexity used for Graph 1: O(n + k), with k = 100 here. Graph 2 uses actual execution times from Experiment #1 only.</t>
  </si>
  <si>
    <t>Selection Sort has a worst-case time complexity of O(n²), meaning its running time increases rapidly as the input size grows. The theoretical graph rises sharply, reflecting this quadratic growth. The actual running-time graph obtained from the experiment shows a similar steep increase as the input size increases. This indicates that the experimental results are consistent with the theoretical analysis, confirming the expected quadratic behavior of Selection Sort.</t>
  </si>
  <si>
    <t>Insertion Sort also has a worst-case time complexity of O(n²), meaning its running time increases rapidly as the input size grows. The theoretical graph shows a steep quadratic increase. The actual running-time graph from the experiment follows a similar pattern, with the time increasing significantly as the input size increases. This confirms that the experimental results are consistent with the expected quadratic behavior of Insertion Sort.</t>
  </si>
  <si>
    <t>Merge Sort has a worst-case time complexity of O(n log n), which grows significantly more slowly than quadratic algorithms such as Selection and Insertion Sort. The theoretical graph reflects this moderate growth rate. The actual running-time graph also increases gradually as the input size increases, showing a much smoother curve compared to O(n²) algorithms. This indicates that the experimental results are consistent with the expected O(n log n) behavior of Merge Sort.</t>
  </si>
  <si>
    <t>Heap Sort has O(n log n) complexity. Both the theoretical and actual graphs increase slowly compared with quadratic sorts. The measured running times are small and follow the expected n log n trend.The heap was built using insertion (O(n log n)), so the actual time may be slightly higher than the optimal heapify implementation.</t>
  </si>
  <si>
    <t>Counting Sort has O(n + k) complexity, and here k = 100 is very small. The theoretical graph is almost linear, and the actual running times are nearly flat because the algorithm is very fast for this limited value range.The measured times are extremely small and close to zero due to the high efficiency of Counting Sort and the limited value range (k = 100). Additionally, the execution time is too small to be accurately measured using clock(), which makes the graph appear nearly flat.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</si>
</sst>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font>
      <sz val="11"/>
      <name val="Carlito"/>
    </font>
    <font>
      <b/>
      <sz val="14"/>
      <color rgb="FFFFFFFF"/>
      <name val="Carlito"/>
    </font>
    <font>
      <i/>
      <sz val="11"/>
      <color rgb="FF334155"/>
      <name val="Carlito"/>
    </font>
    <font>
      <b/>
      <sz val="11"/>
      <color rgb="FF0F172A"/>
      <name val="Carlito"/>
    </font>
    <font>
      <b/>
      <sz val="11"/>
      <color rgb="FFFFFFFF"/>
      <name val="Carlito"/>
    </font>
    <font>
      <sz val="11"/>
      <color rgb="FF0F172A"/>
      <name val="Carlito"/>
    </font>
  </fonts>
  <fills count="7">
    <fill>
      <patternFill patternType="none"/>
    </fill>
    <fill>
      <patternFill patternType="gray125"/>
    </fill>
    <fill>
      <patternFill patternType="solid">
        <fgColor rgb="FF0F766E"/>
      </patternFill>
    </fill>
    <fill>
      <patternFill patternType="solid">
        <fgColor rgb="FFF3F8F8"/>
      </patternFill>
    </fill>
    <fill>
      <patternFill patternType="solid">
        <fgColor rgb="FFDDEDEA"/>
      </patternFill>
    </fill>
    <fill>
      <patternFill patternType="solid">
        <fgColor rgb="FFE8F3F3"/>
      </patternFill>
    </fill>
    <fill>
      <patternFill patternType="solid">
        <fgColor theme="9" tint="-0.249977111117893"/>
        <bgColor indexed="64"/>
      </patternFill>
    </fill>
  </fills>
  <borders count="1">
    <border>
      <left/>
      <right/>
      <top/>
      <bottom/>
      <diagonal/>
    </border>
  </borders>
  <cellStyleXfs count="1">
    <xf numFmtId="0" fontId="0" fillId="0" borderId="0"/>
  </cellStyleXfs>
  <cellXfs count="11">
    <xf numFmtId="0" fontId="0" fillId="0" borderId="0" xfId="0"/>
    <xf numFmtId="0" fontId="3" fillId="4" borderId="0" xfId="0" applyFont="1" applyFill="1" applyAlignment="1">
      <alignment horizontal="center"/>
    </xf>
    <xf numFmtId="0" fontId="0" fillId="0" borderId="0" xfId="0"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0" fontId="3" fillId="4" borderId="0" xfId="0" applyFont="1" applyFill="1" applyAlignment="1">
      <alignment horizontal="center" vertical="center"/>
    </xf>
    <xf numFmtId="0" fontId="1" fillId="2" borderId="0" xfId="0" applyFont="1" applyFill="1" applyAlignment="1">
      <alignment horizontal="center" vertical="center"/>
    </xf>
    <xf numFmtId="0" fontId="2" fillId="3" borderId="0" xfId="0" applyFont="1" applyFill="1" applyAlignment="1">
      <alignment vertical="center" wrapText="1"/>
    </xf>
    <xf numFmtId="0" fontId="4" fillId="2" borderId="0" xfId="0" applyFont="1" applyFill="1" applyAlignment="1">
      <alignment horizontal="center"/>
    </xf>
    <xf numFmtId="0" fontId="5" fillId="5" borderId="0" xfId="0" applyFont="1" applyFill="1" applyAlignment="1">
      <alignment vertical="top" wrapText="1"/>
    </xf>
    <xf numFmtId="0" fontId="0" fillId="6"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Selection Sort - Theoretical F(n)</a:t>
            </a:r>
          </a:p>
        </c:rich>
      </c:tx>
      <c:layout>
        <c:manualLayout>
          <c:xMode val="edge"/>
          <c:yMode val="edge"/>
          <c:x val="0.24580797836375928"/>
          <c:y val="2.7889326334208219E-2"/>
        </c:manualLayout>
      </c:layout>
      <c:overlay val="0"/>
    </c:title>
    <c:autoTitleDeleted val="0"/>
    <c:plotArea>
      <c:layout/>
      <c:lineChart>
        <c:grouping val="standard"/>
        <c:varyColors val="1"/>
        <c:ser>
          <c:idx val="0"/>
          <c:order val="0"/>
          <c:tx>
            <c:v>F(n) Theoretical</c:v>
          </c:tx>
          <c:cat>
            <c:numRef>
              <c:f>Selection!$A$5:$A$8</c:f>
              <c:numCache>
                <c:formatCode>General</c:formatCode>
                <c:ptCount val="4"/>
                <c:pt idx="0">
                  <c:v>10000</c:v>
                </c:pt>
                <c:pt idx="1">
                  <c:v>20000</c:v>
                </c:pt>
                <c:pt idx="2">
                  <c:v>30000</c:v>
                </c:pt>
                <c:pt idx="3">
                  <c:v>50000</c:v>
                </c:pt>
              </c:numCache>
            </c:numRef>
          </c:cat>
          <c:val>
            <c:numRef>
              <c:f>Selection!$B$5:$B$8</c:f>
              <c:numCache>
                <c:formatCode>#,##0</c:formatCode>
                <c:ptCount val="4"/>
                <c:pt idx="0">
                  <c:v>100000000</c:v>
                </c:pt>
                <c:pt idx="1">
                  <c:v>400000000</c:v>
                </c:pt>
                <c:pt idx="2">
                  <c:v>900000000</c:v>
                </c:pt>
                <c:pt idx="3">
                  <c:v>2500000000</c:v>
                </c:pt>
              </c:numCache>
            </c:numRef>
          </c:val>
          <c:smooth val="0"/>
          <c:extLst>
            <c:ext xmlns:c16="http://schemas.microsoft.com/office/drawing/2014/chart" uri="{C3380CC4-5D6E-409C-BE32-E72D297353CC}">
              <c16:uniqueId val="{00000000-3F58-43DA-9A51-356E708B6C17}"/>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a:t>Selection Sort - Actual Time (Exp #1)</a:t>
            </a:r>
          </a:p>
        </c:rich>
      </c:tx>
      <c:overlay val="0"/>
    </c:title>
    <c:autoTitleDeleted val="0"/>
    <c:plotArea>
      <c:layout/>
      <c:lineChart>
        <c:grouping val="standard"/>
        <c:varyColors val="1"/>
        <c:ser>
          <c:idx val="0"/>
          <c:order val="0"/>
          <c:tx>
            <c:v>Actual Time (Exp #1)</c:v>
          </c:tx>
          <c:cat>
            <c:numRef>
              <c:f>Selection!$D$5:$D$8</c:f>
              <c:numCache>
                <c:formatCode>General</c:formatCode>
                <c:ptCount val="4"/>
                <c:pt idx="0">
                  <c:v>10000</c:v>
                </c:pt>
                <c:pt idx="1">
                  <c:v>20000</c:v>
                </c:pt>
                <c:pt idx="2">
                  <c:v>30000</c:v>
                </c:pt>
                <c:pt idx="3">
                  <c:v>50000</c:v>
                </c:pt>
              </c:numCache>
            </c:numRef>
          </c:cat>
          <c:val>
            <c:numRef>
              <c:f>Selection!$E$5:$E$8</c:f>
              <c:numCache>
                <c:formatCode>0.000</c:formatCode>
                <c:ptCount val="4"/>
                <c:pt idx="0">
                  <c:v>8.1000000000000003E-2</c:v>
                </c:pt>
                <c:pt idx="1">
                  <c:v>0.23200000000000001</c:v>
                </c:pt>
                <c:pt idx="2">
                  <c:v>0.503</c:v>
                </c:pt>
                <c:pt idx="3">
                  <c:v>1.3149999999999999</c:v>
                </c:pt>
              </c:numCache>
            </c:numRef>
          </c:val>
          <c:smooth val="0"/>
          <c:extLst>
            <c:ext xmlns:c16="http://schemas.microsoft.com/office/drawing/2014/chart" uri="{C3380CC4-5D6E-409C-BE32-E72D297353CC}">
              <c16:uniqueId val="{00000000-A330-4A52-8C93-D3EBD3828468}"/>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Insertion Sort - Theoretical F(n)</a:t>
            </a:r>
          </a:p>
        </c:rich>
      </c:tx>
      <c:overlay val="0"/>
    </c:title>
    <c:autoTitleDeleted val="0"/>
    <c:plotArea>
      <c:layout/>
      <c:lineChart>
        <c:grouping val="standard"/>
        <c:varyColors val="1"/>
        <c:ser>
          <c:idx val="0"/>
          <c:order val="0"/>
          <c:tx>
            <c:v>F(n) Theoretical</c:v>
          </c:tx>
          <c:cat>
            <c:numRef>
              <c:f>Insertion!$A$5:$A$8</c:f>
              <c:numCache>
                <c:formatCode>General</c:formatCode>
                <c:ptCount val="4"/>
                <c:pt idx="0">
                  <c:v>10000</c:v>
                </c:pt>
                <c:pt idx="1">
                  <c:v>20000</c:v>
                </c:pt>
                <c:pt idx="2">
                  <c:v>30000</c:v>
                </c:pt>
                <c:pt idx="3">
                  <c:v>50000</c:v>
                </c:pt>
              </c:numCache>
            </c:numRef>
          </c:cat>
          <c:val>
            <c:numRef>
              <c:f>Insertion!$B$5:$B$8</c:f>
              <c:numCache>
                <c:formatCode>#,##0</c:formatCode>
                <c:ptCount val="4"/>
                <c:pt idx="0">
                  <c:v>100000000</c:v>
                </c:pt>
                <c:pt idx="1">
                  <c:v>400000000</c:v>
                </c:pt>
                <c:pt idx="2">
                  <c:v>900000000</c:v>
                </c:pt>
                <c:pt idx="3">
                  <c:v>2500000000</c:v>
                </c:pt>
              </c:numCache>
            </c:numRef>
          </c:val>
          <c:smooth val="0"/>
          <c:extLst>
            <c:ext xmlns:c16="http://schemas.microsoft.com/office/drawing/2014/chart" uri="{C3380CC4-5D6E-409C-BE32-E72D297353CC}">
              <c16:uniqueId val="{00000000-7371-4994-A842-DAB64CB7256F}"/>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a:t>Insertion Sort - Actual Time (Exp #1)</a:t>
            </a:r>
          </a:p>
        </c:rich>
      </c:tx>
      <c:overlay val="0"/>
    </c:title>
    <c:autoTitleDeleted val="0"/>
    <c:plotArea>
      <c:layout/>
      <c:lineChart>
        <c:grouping val="standard"/>
        <c:varyColors val="1"/>
        <c:ser>
          <c:idx val="0"/>
          <c:order val="0"/>
          <c:tx>
            <c:v>Actual Time (Exp #1)</c:v>
          </c:tx>
          <c:cat>
            <c:numRef>
              <c:f>Insertion!$D$5:$D$8</c:f>
              <c:numCache>
                <c:formatCode>General</c:formatCode>
                <c:ptCount val="4"/>
                <c:pt idx="0">
                  <c:v>10000</c:v>
                </c:pt>
                <c:pt idx="1">
                  <c:v>20000</c:v>
                </c:pt>
                <c:pt idx="2">
                  <c:v>30000</c:v>
                </c:pt>
                <c:pt idx="3">
                  <c:v>50000</c:v>
                </c:pt>
              </c:numCache>
            </c:numRef>
          </c:cat>
          <c:val>
            <c:numRef>
              <c:f>Insertion!$E$5:$E$8</c:f>
              <c:numCache>
                <c:formatCode>0.000</c:formatCode>
                <c:ptCount val="4"/>
                <c:pt idx="0">
                  <c:v>3.5999999999999997E-2</c:v>
                </c:pt>
                <c:pt idx="1">
                  <c:v>0.13400000000000001</c:v>
                </c:pt>
                <c:pt idx="2">
                  <c:v>0.312</c:v>
                </c:pt>
                <c:pt idx="3">
                  <c:v>0.84199999999999997</c:v>
                </c:pt>
              </c:numCache>
            </c:numRef>
          </c:val>
          <c:smooth val="0"/>
          <c:extLst>
            <c:ext xmlns:c16="http://schemas.microsoft.com/office/drawing/2014/chart" uri="{C3380CC4-5D6E-409C-BE32-E72D297353CC}">
              <c16:uniqueId val="{00000000-34D8-43EA-9B3F-7C16EB8295A6}"/>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Merge Sort - Theoretical F(n)</a:t>
            </a:r>
          </a:p>
        </c:rich>
      </c:tx>
      <c:overlay val="0"/>
    </c:title>
    <c:autoTitleDeleted val="0"/>
    <c:plotArea>
      <c:layout/>
      <c:lineChart>
        <c:grouping val="standard"/>
        <c:varyColors val="1"/>
        <c:ser>
          <c:idx val="0"/>
          <c:order val="0"/>
          <c:tx>
            <c:v>F(n) Theoretical</c:v>
          </c:tx>
          <c:cat>
            <c:numRef>
              <c:f>Merge!$A$5:$A$8</c:f>
              <c:numCache>
                <c:formatCode>General</c:formatCode>
                <c:ptCount val="4"/>
                <c:pt idx="0">
                  <c:v>10000</c:v>
                </c:pt>
                <c:pt idx="1">
                  <c:v>20000</c:v>
                </c:pt>
                <c:pt idx="2">
                  <c:v>30000</c:v>
                </c:pt>
                <c:pt idx="3">
                  <c:v>50000</c:v>
                </c:pt>
              </c:numCache>
            </c:numRef>
          </c:cat>
          <c:val>
            <c:numRef>
              <c:f>Merge!$B$5:$B$8</c:f>
              <c:numCache>
                <c:formatCode>#,##0</c:formatCode>
                <c:ptCount val="4"/>
                <c:pt idx="0">
                  <c:v>132877</c:v>
                </c:pt>
                <c:pt idx="1">
                  <c:v>285754</c:v>
                </c:pt>
                <c:pt idx="2">
                  <c:v>446180</c:v>
                </c:pt>
                <c:pt idx="3">
                  <c:v>780482</c:v>
                </c:pt>
              </c:numCache>
            </c:numRef>
          </c:val>
          <c:smooth val="0"/>
          <c:extLst>
            <c:ext xmlns:c16="http://schemas.microsoft.com/office/drawing/2014/chart" uri="{C3380CC4-5D6E-409C-BE32-E72D297353CC}">
              <c16:uniqueId val="{00000000-BEC4-440B-B601-5354857A6F28}"/>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a:t>Merge Sort - Actual Time (Exp #1)</a:t>
            </a:r>
          </a:p>
        </c:rich>
      </c:tx>
      <c:overlay val="0"/>
    </c:title>
    <c:autoTitleDeleted val="0"/>
    <c:plotArea>
      <c:layout/>
      <c:lineChart>
        <c:grouping val="standard"/>
        <c:varyColors val="1"/>
        <c:ser>
          <c:idx val="0"/>
          <c:order val="0"/>
          <c:tx>
            <c:v>Actual Time (Exp #1)</c:v>
          </c:tx>
          <c:cat>
            <c:numRef>
              <c:f>Merge!$D$5:$D$8</c:f>
              <c:numCache>
                <c:formatCode>General</c:formatCode>
                <c:ptCount val="4"/>
                <c:pt idx="0">
                  <c:v>10000</c:v>
                </c:pt>
                <c:pt idx="1">
                  <c:v>20000</c:v>
                </c:pt>
                <c:pt idx="2">
                  <c:v>30000</c:v>
                </c:pt>
                <c:pt idx="3">
                  <c:v>50000</c:v>
                </c:pt>
              </c:numCache>
            </c:numRef>
          </c:cat>
          <c:val>
            <c:numRef>
              <c:f>Merge!$E$5:$E$8</c:f>
              <c:numCache>
                <c:formatCode>0.000</c:formatCode>
                <c:ptCount val="4"/>
                <c:pt idx="0">
                  <c:v>3.0000000000000001E-3</c:v>
                </c:pt>
                <c:pt idx="1">
                  <c:v>7.0000000000000001E-3</c:v>
                </c:pt>
                <c:pt idx="2">
                  <c:v>0.01</c:v>
                </c:pt>
                <c:pt idx="3">
                  <c:v>1.7000000000000001E-2</c:v>
                </c:pt>
              </c:numCache>
            </c:numRef>
          </c:val>
          <c:smooth val="0"/>
          <c:extLst>
            <c:ext xmlns:c16="http://schemas.microsoft.com/office/drawing/2014/chart" uri="{C3380CC4-5D6E-409C-BE32-E72D297353CC}">
              <c16:uniqueId val="{00000000-1EA9-472E-8AFD-3A29CCBB8F65}"/>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Quick Sort - Theoretical F(n)</a:t>
            </a:r>
          </a:p>
        </c:rich>
      </c:tx>
      <c:layout>
        <c:manualLayout>
          <c:xMode val="edge"/>
          <c:yMode val="edge"/>
          <c:x val="0.14850225572337267"/>
          <c:y val="3.4565661147652527E-2"/>
        </c:manualLayout>
      </c:layout>
      <c:overlay val="0"/>
    </c:title>
    <c:autoTitleDeleted val="0"/>
    <c:plotArea>
      <c:layout/>
      <c:lineChart>
        <c:grouping val="standard"/>
        <c:varyColors val="1"/>
        <c:ser>
          <c:idx val="0"/>
          <c:order val="0"/>
          <c:tx>
            <c:v>F(n) Theoretical</c:v>
          </c:tx>
          <c:cat>
            <c:numRef>
              <c:f>Quick!$A$5:$A$8</c:f>
              <c:numCache>
                <c:formatCode>General</c:formatCode>
                <c:ptCount val="4"/>
                <c:pt idx="0">
                  <c:v>10000</c:v>
                </c:pt>
                <c:pt idx="1">
                  <c:v>20000</c:v>
                </c:pt>
                <c:pt idx="2">
                  <c:v>30000</c:v>
                </c:pt>
                <c:pt idx="3">
                  <c:v>50000</c:v>
                </c:pt>
              </c:numCache>
            </c:numRef>
          </c:cat>
          <c:val>
            <c:numRef>
              <c:f>Quick!$B$5:$B$8</c:f>
              <c:numCache>
                <c:formatCode>#,##0</c:formatCode>
                <c:ptCount val="4"/>
                <c:pt idx="0">
                  <c:v>100000000</c:v>
                </c:pt>
                <c:pt idx="1">
                  <c:v>400000000</c:v>
                </c:pt>
                <c:pt idx="2">
                  <c:v>900000000</c:v>
                </c:pt>
                <c:pt idx="3">
                  <c:v>2500000000</c:v>
                </c:pt>
              </c:numCache>
            </c:numRef>
          </c:val>
          <c:smooth val="0"/>
          <c:extLst>
            <c:ext xmlns:c16="http://schemas.microsoft.com/office/drawing/2014/chart" uri="{C3380CC4-5D6E-409C-BE32-E72D297353CC}">
              <c16:uniqueId val="{00000000-F9A5-4A02-B253-841FA32ACE68}"/>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a:t>Quick Sort - Actual Time (Exp #1)</a:t>
            </a:r>
          </a:p>
        </c:rich>
      </c:tx>
      <c:overlay val="0"/>
    </c:title>
    <c:autoTitleDeleted val="0"/>
    <c:plotArea>
      <c:layout/>
      <c:lineChart>
        <c:grouping val="standard"/>
        <c:varyColors val="1"/>
        <c:ser>
          <c:idx val="0"/>
          <c:order val="0"/>
          <c:tx>
            <c:v>Actual Time (Exp #1)</c:v>
          </c:tx>
          <c:cat>
            <c:numRef>
              <c:f>Quick!$D$5:$D$8</c:f>
              <c:numCache>
                <c:formatCode>General</c:formatCode>
                <c:ptCount val="4"/>
                <c:pt idx="0">
                  <c:v>10000</c:v>
                </c:pt>
                <c:pt idx="1">
                  <c:v>20000</c:v>
                </c:pt>
                <c:pt idx="2">
                  <c:v>30000</c:v>
                </c:pt>
                <c:pt idx="3">
                  <c:v>50000</c:v>
                </c:pt>
              </c:numCache>
            </c:numRef>
          </c:cat>
          <c:val>
            <c:numRef>
              <c:f>Quick!$E$5:$E$8</c:f>
              <c:numCache>
                <c:formatCode>0.000</c:formatCode>
                <c:ptCount val="4"/>
                <c:pt idx="0">
                  <c:v>3.0000000000000001E-3</c:v>
                </c:pt>
                <c:pt idx="1">
                  <c:v>0.01</c:v>
                </c:pt>
                <c:pt idx="2">
                  <c:v>2.1000000000000001E-2</c:v>
                </c:pt>
                <c:pt idx="3">
                  <c:v>5.6000000000000001E-2</c:v>
                </c:pt>
              </c:numCache>
            </c:numRef>
          </c:val>
          <c:smooth val="0"/>
          <c:extLst>
            <c:ext xmlns:c16="http://schemas.microsoft.com/office/drawing/2014/chart" uri="{C3380CC4-5D6E-409C-BE32-E72D297353CC}">
              <c16:uniqueId val="{00000000-8879-440E-9983-9D6A277BCC2A}"/>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Heap Sort - Theoretical F(n)</a:t>
            </a:r>
          </a:p>
        </c:rich>
      </c:tx>
      <c:overlay val="0"/>
    </c:title>
    <c:autoTitleDeleted val="0"/>
    <c:plotArea>
      <c:layout/>
      <c:lineChart>
        <c:grouping val="standard"/>
        <c:varyColors val="1"/>
        <c:ser>
          <c:idx val="0"/>
          <c:order val="0"/>
          <c:tx>
            <c:v>F(n) Theoretical</c:v>
          </c:tx>
          <c:cat>
            <c:numRef>
              <c:f>Heap!$A$5:$A$8</c:f>
              <c:numCache>
                <c:formatCode>General</c:formatCode>
                <c:ptCount val="4"/>
                <c:pt idx="0">
                  <c:v>10000</c:v>
                </c:pt>
                <c:pt idx="1">
                  <c:v>20000</c:v>
                </c:pt>
                <c:pt idx="2">
                  <c:v>30000</c:v>
                </c:pt>
                <c:pt idx="3">
                  <c:v>50000</c:v>
                </c:pt>
              </c:numCache>
            </c:numRef>
          </c:cat>
          <c:val>
            <c:numRef>
              <c:f>Heap!$B$5:$B$8</c:f>
              <c:numCache>
                <c:formatCode>#,##0</c:formatCode>
                <c:ptCount val="4"/>
                <c:pt idx="0">
                  <c:v>132877</c:v>
                </c:pt>
                <c:pt idx="1">
                  <c:v>285754</c:v>
                </c:pt>
                <c:pt idx="2">
                  <c:v>446180</c:v>
                </c:pt>
                <c:pt idx="3">
                  <c:v>780482</c:v>
                </c:pt>
              </c:numCache>
            </c:numRef>
          </c:val>
          <c:smooth val="0"/>
          <c:extLst>
            <c:ext xmlns:c16="http://schemas.microsoft.com/office/drawing/2014/chart" uri="{C3380CC4-5D6E-409C-BE32-E72D297353CC}">
              <c16:uniqueId val="{00000000-FB5E-4421-8E06-E7E8685A9950}"/>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a:t>Heap Sort - Actual Time (Exp #1)</a:t>
            </a:r>
          </a:p>
        </c:rich>
      </c:tx>
      <c:overlay val="0"/>
    </c:title>
    <c:autoTitleDeleted val="0"/>
    <c:plotArea>
      <c:layout/>
      <c:lineChart>
        <c:grouping val="standard"/>
        <c:varyColors val="1"/>
        <c:ser>
          <c:idx val="0"/>
          <c:order val="0"/>
          <c:tx>
            <c:v>Actual Time (Exp #1)</c:v>
          </c:tx>
          <c:cat>
            <c:numRef>
              <c:f>Heap!$D$5:$D$8</c:f>
              <c:numCache>
                <c:formatCode>General</c:formatCode>
                <c:ptCount val="4"/>
                <c:pt idx="0">
                  <c:v>10000</c:v>
                </c:pt>
                <c:pt idx="1">
                  <c:v>20000</c:v>
                </c:pt>
                <c:pt idx="2">
                  <c:v>30000</c:v>
                </c:pt>
                <c:pt idx="3">
                  <c:v>50000</c:v>
                </c:pt>
              </c:numCache>
            </c:numRef>
          </c:cat>
          <c:val>
            <c:numRef>
              <c:f>Heap!$E$5:$E$8</c:f>
              <c:numCache>
                <c:formatCode>0.000</c:formatCode>
                <c:ptCount val="4"/>
                <c:pt idx="0">
                  <c:v>2E-3</c:v>
                </c:pt>
                <c:pt idx="1">
                  <c:v>3.0000000000000001E-3</c:v>
                </c:pt>
                <c:pt idx="2">
                  <c:v>5.0000000000000001E-3</c:v>
                </c:pt>
                <c:pt idx="3">
                  <c:v>7.0000000000000001E-3</c:v>
                </c:pt>
              </c:numCache>
            </c:numRef>
          </c:val>
          <c:smooth val="0"/>
          <c:extLst>
            <c:ext xmlns:c16="http://schemas.microsoft.com/office/drawing/2014/chart" uri="{C3380CC4-5D6E-409C-BE32-E72D297353CC}">
              <c16:uniqueId val="{00000000-AAF3-4C62-A07E-5D8954AB117A}"/>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Counting Sort - Theoretical F(n)</a:t>
            </a:r>
          </a:p>
        </c:rich>
      </c:tx>
      <c:overlay val="0"/>
    </c:title>
    <c:autoTitleDeleted val="0"/>
    <c:plotArea>
      <c:layout/>
      <c:lineChart>
        <c:grouping val="standard"/>
        <c:varyColors val="1"/>
        <c:ser>
          <c:idx val="0"/>
          <c:order val="0"/>
          <c:tx>
            <c:v>F(n) Theoretical</c:v>
          </c:tx>
          <c:cat>
            <c:numRef>
              <c:f>Counting!$A$5:$A$8</c:f>
              <c:numCache>
                <c:formatCode>General</c:formatCode>
                <c:ptCount val="4"/>
                <c:pt idx="0">
                  <c:v>10000</c:v>
                </c:pt>
                <c:pt idx="1">
                  <c:v>20000</c:v>
                </c:pt>
                <c:pt idx="2">
                  <c:v>30000</c:v>
                </c:pt>
                <c:pt idx="3">
                  <c:v>50000</c:v>
                </c:pt>
              </c:numCache>
            </c:numRef>
          </c:cat>
          <c:val>
            <c:numRef>
              <c:f>Counting!$B$5:$B$8</c:f>
              <c:numCache>
                <c:formatCode>#,##0</c:formatCode>
                <c:ptCount val="4"/>
                <c:pt idx="0">
                  <c:v>10100</c:v>
                </c:pt>
                <c:pt idx="1">
                  <c:v>20100</c:v>
                </c:pt>
                <c:pt idx="2">
                  <c:v>30100</c:v>
                </c:pt>
                <c:pt idx="3">
                  <c:v>50100</c:v>
                </c:pt>
              </c:numCache>
            </c:numRef>
          </c:val>
          <c:smooth val="0"/>
          <c:extLst>
            <c:ext xmlns:c16="http://schemas.microsoft.com/office/drawing/2014/chart" uri="{C3380CC4-5D6E-409C-BE32-E72D297353CC}">
              <c16:uniqueId val="{00000000-73EC-4CB2-AF29-C2FE579D6F11}"/>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a:t>Counting Sort - Actual Time (Exp #1)</a:t>
            </a:r>
          </a:p>
        </c:rich>
      </c:tx>
      <c:overlay val="0"/>
    </c:title>
    <c:autoTitleDeleted val="0"/>
    <c:plotArea>
      <c:layout/>
      <c:lineChart>
        <c:grouping val="standard"/>
        <c:varyColors val="1"/>
        <c:ser>
          <c:idx val="0"/>
          <c:order val="0"/>
          <c:tx>
            <c:v>Actual Time (Exp #1)</c:v>
          </c:tx>
          <c:cat>
            <c:numRef>
              <c:f>Counting!$D$5:$D$8</c:f>
              <c:numCache>
                <c:formatCode>General</c:formatCode>
                <c:ptCount val="4"/>
                <c:pt idx="0">
                  <c:v>10000</c:v>
                </c:pt>
                <c:pt idx="1">
                  <c:v>20000</c:v>
                </c:pt>
                <c:pt idx="2">
                  <c:v>30000</c:v>
                </c:pt>
                <c:pt idx="3">
                  <c:v>50000</c:v>
                </c:pt>
              </c:numCache>
            </c:numRef>
          </c:cat>
          <c:val>
            <c:numRef>
              <c:f>Counting!$E$5:$E$8</c:f>
              <c:numCache>
                <c:formatCode>0.000</c:formatCode>
                <c:ptCount val="4"/>
                <c:pt idx="0">
                  <c:v>0</c:v>
                </c:pt>
                <c:pt idx="1">
                  <c:v>0</c:v>
                </c:pt>
                <c:pt idx="2">
                  <c:v>0</c:v>
                </c:pt>
                <c:pt idx="3">
                  <c:v>1E-3</c:v>
                </c:pt>
              </c:numCache>
            </c:numRef>
          </c:val>
          <c:smooth val="0"/>
          <c:extLst>
            <c:ext xmlns:c16="http://schemas.microsoft.com/office/drawing/2014/chart" uri="{C3380CC4-5D6E-409C-BE32-E72D297353CC}">
              <c16:uniqueId val="{00000000-67E3-4243-9250-C256DEA1CADB}"/>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1363980</xdr:colOff>
      <xdr:row>3</xdr:row>
      <xdr:rowOff>0</xdr:rowOff>
    </xdr:from>
    <xdr:to>
      <xdr:col>8</xdr:col>
      <xdr:colOff>952500</xdr:colOff>
      <xdr:row>15</xdr:row>
      <xdr:rowOff>121920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982980</xdr:colOff>
      <xdr:row>2</xdr:row>
      <xdr:rowOff>137160</xdr:rowOff>
    </xdr:from>
    <xdr:to>
      <xdr:col>12</xdr:col>
      <xdr:colOff>1059180</xdr:colOff>
      <xdr:row>15</xdr:row>
      <xdr:rowOff>152400</xdr:rowOff>
    </xdr:to>
    <xdr:graphicFrame macro="">
      <xdr:nvGraphicFramePr>
        <xdr:cNvPr id="5" name="Chart">
          <a:extLst>
            <a:ext uri="{FF2B5EF4-FFF2-40B4-BE49-F238E27FC236}">
              <a16:creationId xmlns:a16="http://schemas.microsoft.com/office/drawing/2014/main" id="{570502FE-E038-4290-B80C-7FB0D294B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xdr:colOff>
      <xdr:row>3</xdr:row>
      <xdr:rowOff>0</xdr:rowOff>
    </xdr:from>
    <xdr:to>
      <xdr:col>8</xdr:col>
      <xdr:colOff>1051560</xdr:colOff>
      <xdr:row>16</xdr:row>
      <xdr:rowOff>76200</xdr:rowOff>
    </xdr:to>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2</xdr:row>
      <xdr:rowOff>167640</xdr:rowOff>
    </xdr:from>
    <xdr:to>
      <xdr:col>13</xdr:col>
      <xdr:colOff>0</xdr:colOff>
      <xdr:row>16</xdr:row>
      <xdr:rowOff>60960</xdr:rowOff>
    </xdr:to>
    <xdr:graphicFrame macro="">
      <xdr:nvGraphicFramePr>
        <xdr:cNvPr id="4" name="Chart">
          <a:extLst>
            <a:ext uri="{FF2B5EF4-FFF2-40B4-BE49-F238E27FC236}">
              <a16:creationId xmlns:a16="http://schemas.microsoft.com/office/drawing/2014/main" id="{DD6870A5-0B3B-48CF-826B-B39C93ED9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7620</xdr:colOff>
      <xdr:row>2</xdr:row>
      <xdr:rowOff>160020</xdr:rowOff>
    </xdr:from>
    <xdr:to>
      <xdr:col>8</xdr:col>
      <xdr:colOff>1051560</xdr:colOff>
      <xdr:row>16</xdr:row>
      <xdr:rowOff>30480</xdr:rowOff>
    </xdr:to>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1059180</xdr:colOff>
      <xdr:row>3</xdr:row>
      <xdr:rowOff>7620</xdr:rowOff>
    </xdr:from>
    <xdr:to>
      <xdr:col>13</xdr:col>
      <xdr:colOff>0</xdr:colOff>
      <xdr:row>15</xdr:row>
      <xdr:rowOff>167640</xdr:rowOff>
    </xdr:to>
    <xdr:graphicFrame macro="">
      <xdr:nvGraphicFramePr>
        <xdr:cNvPr id="4" name="Chart">
          <a:extLst>
            <a:ext uri="{FF2B5EF4-FFF2-40B4-BE49-F238E27FC236}">
              <a16:creationId xmlns:a16="http://schemas.microsoft.com/office/drawing/2014/main" id="{6FBA2B4E-3127-425F-8F96-FB32716A6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6626</xdr:colOff>
      <xdr:row>3</xdr:row>
      <xdr:rowOff>9608</xdr:rowOff>
    </xdr:from>
    <xdr:to>
      <xdr:col>9</xdr:col>
      <xdr:colOff>21866</xdr:colOff>
      <xdr:row>15</xdr:row>
      <xdr:rowOff>146768</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18222</xdr:colOff>
      <xdr:row>3</xdr:row>
      <xdr:rowOff>0</xdr:rowOff>
    </xdr:from>
    <xdr:to>
      <xdr:col>13</xdr:col>
      <xdr:colOff>79182</xdr:colOff>
      <xdr:row>15</xdr:row>
      <xdr:rowOff>152400</xdr:rowOff>
    </xdr:to>
    <xdr:graphicFrame macro="">
      <xdr:nvGraphicFramePr>
        <xdr:cNvPr id="4" name="Chart">
          <a:extLst>
            <a:ext uri="{FF2B5EF4-FFF2-40B4-BE49-F238E27FC236}">
              <a16:creationId xmlns:a16="http://schemas.microsoft.com/office/drawing/2014/main" id="{72261CC0-EEF1-4B26-A910-8430D16F2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2</xdr:row>
      <xdr:rowOff>137160</xdr:rowOff>
    </xdr:from>
    <xdr:to>
      <xdr:col>9</xdr:col>
      <xdr:colOff>0</xdr:colOff>
      <xdr:row>16</xdr:row>
      <xdr:rowOff>7620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2</xdr:row>
      <xdr:rowOff>137160</xdr:rowOff>
    </xdr:from>
    <xdr:to>
      <xdr:col>13</xdr:col>
      <xdr:colOff>7620</xdr:colOff>
      <xdr:row>15</xdr:row>
      <xdr:rowOff>160020</xdr:rowOff>
    </xdr:to>
    <xdr:graphicFrame macro="">
      <xdr:nvGraphicFramePr>
        <xdr:cNvPr id="4" name="Chart">
          <a:extLst>
            <a:ext uri="{FF2B5EF4-FFF2-40B4-BE49-F238E27FC236}">
              <a16:creationId xmlns:a16="http://schemas.microsoft.com/office/drawing/2014/main" id="{94C15EA1-6AF5-4AF1-9294-3A0E0EF890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1362635</xdr:colOff>
      <xdr:row>3</xdr:row>
      <xdr:rowOff>8964</xdr:rowOff>
    </xdr:from>
    <xdr:to>
      <xdr:col>9</xdr:col>
      <xdr:colOff>0</xdr:colOff>
      <xdr:row>16</xdr:row>
      <xdr:rowOff>0</xdr:rowOff>
    </xdr:to>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3</xdr:row>
      <xdr:rowOff>0</xdr:rowOff>
    </xdr:from>
    <xdr:to>
      <xdr:col>12</xdr:col>
      <xdr:colOff>1048870</xdr:colOff>
      <xdr:row>16</xdr:row>
      <xdr:rowOff>0</xdr:rowOff>
    </xdr:to>
    <xdr:graphicFrame macro="">
      <xdr:nvGraphicFramePr>
        <xdr:cNvPr id="4" name="Chart">
          <a:extLst>
            <a:ext uri="{FF2B5EF4-FFF2-40B4-BE49-F238E27FC236}">
              <a16:creationId xmlns:a16="http://schemas.microsoft.com/office/drawing/2014/main" id="{E17A771F-1F49-4FB8-A7A8-5275168AD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0"/>
  <sheetViews>
    <sheetView rightToLeft="1" workbookViewId="0">
      <selection sqref="A1:E1"/>
    </sheetView>
  </sheetViews>
  <sheetFormatPr defaultRowHeight="13.8"/>
  <cols>
    <col min="1" max="1" width="14" customWidth="1"/>
    <col min="2" max="2" width="34" customWidth="1"/>
    <col min="3" max="4" width="14" customWidth="1"/>
    <col min="5" max="8" width="18" customWidth="1"/>
  </cols>
  <sheetData>
    <row r="1" spans="1:5" ht="20.85" customHeight="1">
      <c r="A1" s="10" t="s">
        <v>8</v>
      </c>
      <c r="B1" s="10"/>
      <c r="C1" s="10"/>
      <c r="D1" s="10"/>
      <c r="E1" s="10"/>
    </row>
    <row r="2" spans="1:5" ht="27.15" customHeight="1">
      <c r="A2" s="5" t="s">
        <v>0</v>
      </c>
      <c r="B2" s="5" t="s">
        <v>9</v>
      </c>
      <c r="C2" s="5" t="s">
        <v>10</v>
      </c>
      <c r="D2" s="5" t="s">
        <v>11</v>
      </c>
      <c r="E2" s="5" t="s">
        <v>12</v>
      </c>
    </row>
    <row r="3" spans="1:5">
      <c r="A3" s="2" t="s">
        <v>1</v>
      </c>
      <c r="B3" s="2">
        <v>10000</v>
      </c>
      <c r="C3" s="3">
        <v>100000000</v>
      </c>
      <c r="D3" s="2">
        <v>1</v>
      </c>
      <c r="E3" s="4">
        <v>8.1000000000000003E-2</v>
      </c>
    </row>
    <row r="4" spans="1:5">
      <c r="A4" s="2" t="s">
        <v>3</v>
      </c>
      <c r="B4" s="2">
        <v>10000</v>
      </c>
      <c r="C4" s="3">
        <v>100000000</v>
      </c>
      <c r="D4" s="2">
        <v>1</v>
      </c>
      <c r="E4" s="4">
        <v>3.5999999999999997E-2</v>
      </c>
    </row>
    <row r="5" spans="1:5">
      <c r="A5" s="2" t="s">
        <v>4</v>
      </c>
      <c r="B5" s="2">
        <v>10000</v>
      </c>
      <c r="C5" s="3">
        <v>132877</v>
      </c>
      <c r="D5" s="2">
        <v>1</v>
      </c>
      <c r="E5" s="4">
        <v>3.0000000000000001E-3</v>
      </c>
    </row>
    <row r="6" spans="1:5">
      <c r="A6" s="2" t="s">
        <v>5</v>
      </c>
      <c r="B6" s="2">
        <v>10000</v>
      </c>
      <c r="C6" s="3">
        <v>100000000</v>
      </c>
      <c r="D6" s="2">
        <v>1</v>
      </c>
      <c r="E6" s="4">
        <v>3.0000000000000001E-3</v>
      </c>
    </row>
    <row r="7" spans="1:5">
      <c r="A7" s="2" t="s">
        <v>6</v>
      </c>
      <c r="B7" s="2">
        <v>10000</v>
      </c>
      <c r="C7" s="3">
        <v>132877</v>
      </c>
      <c r="D7" s="2">
        <v>1</v>
      </c>
      <c r="E7" s="4">
        <v>2E-3</v>
      </c>
    </row>
    <row r="8" spans="1:5">
      <c r="A8" s="2" t="s">
        <v>7</v>
      </c>
      <c r="B8" s="2">
        <v>10000</v>
      </c>
      <c r="C8" s="3">
        <v>10100</v>
      </c>
      <c r="D8" s="2">
        <v>1</v>
      </c>
      <c r="E8" s="4">
        <v>0</v>
      </c>
    </row>
    <row r="9" spans="1:5">
      <c r="A9" s="2" t="s">
        <v>1</v>
      </c>
      <c r="B9" s="2">
        <v>10000</v>
      </c>
      <c r="C9" s="3">
        <v>100000000</v>
      </c>
      <c r="D9" s="2">
        <v>2</v>
      </c>
      <c r="E9" s="4">
        <v>6.5000000000000002E-2</v>
      </c>
    </row>
    <row r="10" spans="1:5">
      <c r="A10" s="2" t="s">
        <v>3</v>
      </c>
      <c r="B10" s="2">
        <v>10000</v>
      </c>
      <c r="C10" s="3">
        <v>100000000</v>
      </c>
      <c r="D10" s="2">
        <v>2</v>
      </c>
      <c r="E10" s="4">
        <v>3.9E-2</v>
      </c>
    </row>
    <row r="11" spans="1:5">
      <c r="A11" s="2" t="s">
        <v>4</v>
      </c>
      <c r="B11" s="2">
        <v>10000</v>
      </c>
      <c r="C11" s="3">
        <v>132877</v>
      </c>
      <c r="D11" s="2">
        <v>2</v>
      </c>
      <c r="E11" s="4">
        <v>4.0000000000000001E-3</v>
      </c>
    </row>
    <row r="12" spans="1:5">
      <c r="A12" s="2" t="s">
        <v>5</v>
      </c>
      <c r="B12" s="2">
        <v>10000</v>
      </c>
      <c r="C12" s="3">
        <v>100000000</v>
      </c>
      <c r="D12" s="2">
        <v>2</v>
      </c>
      <c r="E12" s="4">
        <v>3.0000000000000001E-3</v>
      </c>
    </row>
    <row r="13" spans="1:5">
      <c r="A13" s="2" t="s">
        <v>6</v>
      </c>
      <c r="B13" s="2">
        <v>10000</v>
      </c>
      <c r="C13" s="3">
        <v>132877</v>
      </c>
      <c r="D13" s="2">
        <v>2</v>
      </c>
      <c r="E13" s="4">
        <v>2E-3</v>
      </c>
    </row>
    <row r="14" spans="1:5">
      <c r="A14" s="2" t="s">
        <v>7</v>
      </c>
      <c r="B14" s="2">
        <v>10000</v>
      </c>
      <c r="C14" s="3">
        <v>10100</v>
      </c>
      <c r="D14" s="2">
        <v>2</v>
      </c>
      <c r="E14" s="4">
        <v>0</v>
      </c>
    </row>
    <row r="15" spans="1:5">
      <c r="A15" s="2" t="s">
        <v>1</v>
      </c>
      <c r="B15" s="2">
        <v>20000</v>
      </c>
      <c r="C15" s="3">
        <v>400000000</v>
      </c>
      <c r="D15" s="2">
        <v>1</v>
      </c>
      <c r="E15" s="4">
        <v>0.23200000000000001</v>
      </c>
    </row>
    <row r="16" spans="1:5">
      <c r="A16" s="2" t="s">
        <v>3</v>
      </c>
      <c r="B16" s="2">
        <v>20000</v>
      </c>
      <c r="C16" s="3">
        <v>400000000</v>
      </c>
      <c r="D16" s="2">
        <v>1</v>
      </c>
      <c r="E16" s="4">
        <v>0.13400000000000001</v>
      </c>
    </row>
    <row r="17" spans="1:5">
      <c r="A17" s="2" t="s">
        <v>4</v>
      </c>
      <c r="B17" s="2">
        <v>20000</v>
      </c>
      <c r="C17" s="3">
        <v>285754</v>
      </c>
      <c r="D17" s="2">
        <v>1</v>
      </c>
      <c r="E17" s="4">
        <v>7.0000000000000001E-3</v>
      </c>
    </row>
    <row r="18" spans="1:5">
      <c r="A18" s="2" t="s">
        <v>5</v>
      </c>
      <c r="B18" s="2">
        <v>20000</v>
      </c>
      <c r="C18" s="3">
        <v>400000000</v>
      </c>
      <c r="D18" s="2">
        <v>1</v>
      </c>
      <c r="E18" s="4">
        <v>0.01</v>
      </c>
    </row>
    <row r="19" spans="1:5">
      <c r="A19" s="2" t="s">
        <v>6</v>
      </c>
      <c r="B19" s="2">
        <v>20000</v>
      </c>
      <c r="C19" s="3">
        <v>285754</v>
      </c>
      <c r="D19" s="2">
        <v>1</v>
      </c>
      <c r="E19" s="4">
        <v>3.0000000000000001E-3</v>
      </c>
    </row>
    <row r="20" spans="1:5">
      <c r="A20" s="2" t="s">
        <v>7</v>
      </c>
      <c r="B20" s="2">
        <v>20000</v>
      </c>
      <c r="C20" s="3">
        <v>20100</v>
      </c>
      <c r="D20" s="2">
        <v>1</v>
      </c>
      <c r="E20" s="4">
        <v>0</v>
      </c>
    </row>
    <row r="21" spans="1:5">
      <c r="A21" s="2" t="s">
        <v>1</v>
      </c>
      <c r="B21" s="2">
        <v>20000</v>
      </c>
      <c r="C21" s="3">
        <v>400000000</v>
      </c>
      <c r="D21" s="2">
        <v>2</v>
      </c>
      <c r="E21" s="4">
        <v>0.216</v>
      </c>
    </row>
    <row r="22" spans="1:5">
      <c r="A22" s="2" t="s">
        <v>3</v>
      </c>
      <c r="B22" s="2">
        <v>20000</v>
      </c>
      <c r="C22" s="3">
        <v>400000000</v>
      </c>
      <c r="D22" s="2">
        <v>2</v>
      </c>
      <c r="E22" s="4">
        <v>0.13500000000000001</v>
      </c>
    </row>
    <row r="23" spans="1:5">
      <c r="A23" s="2" t="s">
        <v>4</v>
      </c>
      <c r="B23" s="2">
        <v>20000</v>
      </c>
      <c r="C23" s="3">
        <v>285754</v>
      </c>
      <c r="D23" s="2">
        <v>2</v>
      </c>
      <c r="E23" s="4">
        <v>7.0000000000000001E-3</v>
      </c>
    </row>
    <row r="24" spans="1:5">
      <c r="A24" s="2" t="s">
        <v>5</v>
      </c>
      <c r="B24" s="2">
        <v>20000</v>
      </c>
      <c r="C24" s="3">
        <v>400000000</v>
      </c>
      <c r="D24" s="2">
        <v>2</v>
      </c>
      <c r="E24" s="4">
        <v>8.9999999999999993E-3</v>
      </c>
    </row>
    <row r="25" spans="1:5">
      <c r="A25" s="2" t="s">
        <v>6</v>
      </c>
      <c r="B25" s="2">
        <v>20000</v>
      </c>
      <c r="C25" s="3">
        <v>285754</v>
      </c>
      <c r="D25" s="2">
        <v>2</v>
      </c>
      <c r="E25" s="4">
        <v>3.0000000000000001E-3</v>
      </c>
    </row>
    <row r="26" spans="1:5">
      <c r="A26" s="2" t="s">
        <v>7</v>
      </c>
      <c r="B26" s="2">
        <v>20000</v>
      </c>
      <c r="C26" s="3">
        <v>20100</v>
      </c>
      <c r="D26" s="2">
        <v>2</v>
      </c>
      <c r="E26" s="4">
        <v>0</v>
      </c>
    </row>
    <row r="27" spans="1:5">
      <c r="A27" s="2" t="s">
        <v>1</v>
      </c>
      <c r="B27" s="2">
        <v>30000</v>
      </c>
      <c r="C27" s="3">
        <v>900000000</v>
      </c>
      <c r="D27" s="2">
        <v>1</v>
      </c>
      <c r="E27" s="4">
        <v>0.503</v>
      </c>
    </row>
    <row r="28" spans="1:5">
      <c r="A28" s="2" t="s">
        <v>3</v>
      </c>
      <c r="B28" s="2">
        <v>30000</v>
      </c>
      <c r="C28" s="3">
        <v>900000000</v>
      </c>
      <c r="D28" s="2">
        <v>1</v>
      </c>
      <c r="E28" s="4">
        <v>0.312</v>
      </c>
    </row>
    <row r="29" spans="1:5">
      <c r="A29" s="2" t="s">
        <v>4</v>
      </c>
      <c r="B29" s="2">
        <v>30000</v>
      </c>
      <c r="C29" s="3">
        <v>446180</v>
      </c>
      <c r="D29" s="2">
        <v>1</v>
      </c>
      <c r="E29" s="4">
        <v>0.01</v>
      </c>
    </row>
    <row r="30" spans="1:5">
      <c r="A30" s="2" t="s">
        <v>5</v>
      </c>
      <c r="B30" s="2">
        <v>30000</v>
      </c>
      <c r="C30" s="3">
        <v>900000000</v>
      </c>
      <c r="D30" s="2">
        <v>1</v>
      </c>
      <c r="E30" s="4">
        <v>2.1000000000000001E-2</v>
      </c>
    </row>
    <row r="31" spans="1:5">
      <c r="A31" s="2" t="s">
        <v>6</v>
      </c>
      <c r="B31" s="2">
        <v>30000</v>
      </c>
      <c r="C31" s="3">
        <v>446180</v>
      </c>
      <c r="D31" s="2">
        <v>1</v>
      </c>
      <c r="E31" s="4">
        <v>5.0000000000000001E-3</v>
      </c>
    </row>
    <row r="32" spans="1:5">
      <c r="A32" s="2" t="s">
        <v>7</v>
      </c>
      <c r="B32" s="2">
        <v>30000</v>
      </c>
      <c r="C32" s="3">
        <v>30100</v>
      </c>
      <c r="D32" s="2">
        <v>1</v>
      </c>
      <c r="E32" s="4">
        <v>0</v>
      </c>
    </row>
    <row r="33" spans="1:5">
      <c r="A33" s="2" t="s">
        <v>1</v>
      </c>
      <c r="B33" s="2">
        <v>30000</v>
      </c>
      <c r="C33" s="3">
        <v>900000000</v>
      </c>
      <c r="D33" s="2">
        <v>2</v>
      </c>
      <c r="E33" s="4">
        <v>0.47899999999999998</v>
      </c>
    </row>
    <row r="34" spans="1:5">
      <c r="A34" s="2" t="s">
        <v>3</v>
      </c>
      <c r="B34" s="2">
        <v>30000</v>
      </c>
      <c r="C34" s="3">
        <v>900000000</v>
      </c>
      <c r="D34" s="2">
        <v>2</v>
      </c>
      <c r="E34" s="4">
        <v>0.29699999999999999</v>
      </c>
    </row>
    <row r="35" spans="1:5">
      <c r="A35" s="2" t="s">
        <v>4</v>
      </c>
      <c r="B35" s="2">
        <v>30000</v>
      </c>
      <c r="C35" s="3">
        <v>446180</v>
      </c>
      <c r="D35" s="2">
        <v>2</v>
      </c>
      <c r="E35" s="4">
        <v>8.9999999999999993E-3</v>
      </c>
    </row>
    <row r="36" spans="1:5">
      <c r="A36" s="2" t="s">
        <v>5</v>
      </c>
      <c r="B36" s="2">
        <v>30000</v>
      </c>
      <c r="C36" s="3">
        <v>900000000</v>
      </c>
      <c r="D36" s="2">
        <v>2</v>
      </c>
      <c r="E36" s="4">
        <v>1.9E-2</v>
      </c>
    </row>
    <row r="37" spans="1:5">
      <c r="A37" s="2" t="s">
        <v>6</v>
      </c>
      <c r="B37" s="2">
        <v>30000</v>
      </c>
      <c r="C37" s="3">
        <v>446180</v>
      </c>
      <c r="D37" s="2">
        <v>2</v>
      </c>
      <c r="E37" s="4">
        <v>4.0000000000000001E-3</v>
      </c>
    </row>
    <row r="38" spans="1:5">
      <c r="A38" s="2" t="s">
        <v>7</v>
      </c>
      <c r="B38" s="2">
        <v>30000</v>
      </c>
      <c r="C38" s="3">
        <v>30100</v>
      </c>
      <c r="D38" s="2">
        <v>2</v>
      </c>
      <c r="E38" s="4">
        <v>0</v>
      </c>
    </row>
    <row r="39" spans="1:5">
      <c r="A39" s="2" t="s">
        <v>1</v>
      </c>
      <c r="B39" s="2">
        <v>50000</v>
      </c>
      <c r="C39" s="3">
        <v>2500000000</v>
      </c>
      <c r="D39" s="2">
        <v>1</v>
      </c>
      <c r="E39" s="4">
        <v>1.3149999999999999</v>
      </c>
    </row>
    <row r="40" spans="1:5">
      <c r="A40" s="2" t="s">
        <v>3</v>
      </c>
      <c r="B40" s="2">
        <v>50000</v>
      </c>
      <c r="C40" s="3">
        <v>2500000000</v>
      </c>
      <c r="D40" s="2">
        <v>1</v>
      </c>
      <c r="E40" s="4">
        <v>0.84199999999999997</v>
      </c>
    </row>
    <row r="41" spans="1:5">
      <c r="A41" s="2" t="s">
        <v>4</v>
      </c>
      <c r="B41" s="2">
        <v>50000</v>
      </c>
      <c r="C41" s="3">
        <v>780482</v>
      </c>
      <c r="D41" s="2">
        <v>1</v>
      </c>
      <c r="E41" s="4">
        <v>1.7000000000000001E-2</v>
      </c>
    </row>
    <row r="42" spans="1:5">
      <c r="A42" s="2" t="s">
        <v>5</v>
      </c>
      <c r="B42" s="2">
        <v>50000</v>
      </c>
      <c r="C42" s="3">
        <v>2500000000</v>
      </c>
      <c r="D42" s="2">
        <v>1</v>
      </c>
      <c r="E42" s="4">
        <v>5.6000000000000001E-2</v>
      </c>
    </row>
    <row r="43" spans="1:5">
      <c r="A43" s="2" t="s">
        <v>6</v>
      </c>
      <c r="B43" s="2">
        <v>50000</v>
      </c>
      <c r="C43" s="3">
        <v>780482</v>
      </c>
      <c r="D43" s="2">
        <v>1</v>
      </c>
      <c r="E43" s="4">
        <v>7.0000000000000001E-3</v>
      </c>
    </row>
    <row r="44" spans="1:5">
      <c r="A44" s="2" t="s">
        <v>7</v>
      </c>
      <c r="B44" s="2">
        <v>50000</v>
      </c>
      <c r="C44" s="3">
        <v>50100</v>
      </c>
      <c r="D44" s="2">
        <v>1</v>
      </c>
      <c r="E44" s="4">
        <v>1E-3</v>
      </c>
    </row>
    <row r="45" spans="1:5">
      <c r="A45" s="2" t="s">
        <v>1</v>
      </c>
      <c r="B45" s="2">
        <v>50000</v>
      </c>
      <c r="C45" s="3">
        <v>2500000000</v>
      </c>
      <c r="D45" s="2">
        <v>2</v>
      </c>
      <c r="E45" s="4">
        <v>1.3520000000000001</v>
      </c>
    </row>
    <row r="46" spans="1:5">
      <c r="A46" s="2" t="s">
        <v>3</v>
      </c>
      <c r="B46" s="2">
        <v>50000</v>
      </c>
      <c r="C46" s="3">
        <v>2500000000</v>
      </c>
      <c r="D46" s="2">
        <v>2</v>
      </c>
      <c r="E46" s="4">
        <v>0.84299999999999997</v>
      </c>
    </row>
    <row r="47" spans="1:5">
      <c r="A47" s="2" t="s">
        <v>4</v>
      </c>
      <c r="B47" s="2">
        <v>50000</v>
      </c>
      <c r="C47" s="3">
        <v>780482</v>
      </c>
      <c r="D47" s="2">
        <v>2</v>
      </c>
      <c r="E47" s="4">
        <v>1.4999999999999999E-2</v>
      </c>
    </row>
    <row r="48" spans="1:5">
      <c r="A48" s="2" t="s">
        <v>5</v>
      </c>
      <c r="B48" s="2">
        <v>50000</v>
      </c>
      <c r="C48" s="3">
        <v>2500000000</v>
      </c>
      <c r="D48" s="2">
        <v>2</v>
      </c>
      <c r="E48" s="4">
        <v>5.2999999999999999E-2</v>
      </c>
    </row>
    <row r="49" spans="1:5">
      <c r="A49" s="2" t="s">
        <v>6</v>
      </c>
      <c r="B49" s="2">
        <v>50000</v>
      </c>
      <c r="C49" s="3">
        <v>780482</v>
      </c>
      <c r="D49" s="2">
        <v>2</v>
      </c>
      <c r="E49" s="4">
        <v>8.0000000000000002E-3</v>
      </c>
    </row>
    <row r="50" spans="1:5">
      <c r="A50" s="2" t="s">
        <v>7</v>
      </c>
      <c r="B50" s="2">
        <v>50000</v>
      </c>
      <c r="C50" s="3">
        <v>50100</v>
      </c>
      <c r="D50" s="2">
        <v>2</v>
      </c>
      <c r="E50" s="4">
        <v>0</v>
      </c>
    </row>
  </sheetData>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3"/>
  <sheetViews>
    <sheetView rightToLeft="1" workbookViewId="0">
      <selection sqref="A1:M1"/>
    </sheetView>
  </sheetViews>
  <sheetFormatPr defaultRowHeight="13.8"/>
  <cols>
    <col min="1" max="1" width="12" customWidth="1"/>
    <col min="2" max="2" width="18" customWidth="1"/>
    <col min="3" max="3" width="14" customWidth="1"/>
    <col min="4" max="4" width="12" customWidth="1"/>
    <col min="5" max="5" width="18" customWidth="1"/>
    <col min="6" max="13" width="14" customWidth="1"/>
  </cols>
  <sheetData>
    <row r="1" spans="1:13" ht="20.85" customHeight="1">
      <c r="A1" s="6" t="s">
        <v>13</v>
      </c>
      <c r="B1" s="6"/>
      <c r="C1" s="6"/>
      <c r="D1" s="6"/>
      <c r="E1" s="6"/>
      <c r="F1" s="6"/>
      <c r="G1" s="6"/>
      <c r="H1" s="6"/>
      <c r="I1" s="6"/>
      <c r="J1" s="6"/>
      <c r="K1" s="6"/>
      <c r="L1" s="6"/>
      <c r="M1" s="6"/>
    </row>
    <row r="2" spans="1:13" ht="22.35" customHeight="1">
      <c r="A2" s="7" t="s">
        <v>14</v>
      </c>
      <c r="B2" s="7"/>
      <c r="C2" s="7"/>
      <c r="D2" s="7"/>
      <c r="E2" s="7"/>
      <c r="F2" s="7"/>
      <c r="G2" s="7"/>
      <c r="H2" s="7"/>
      <c r="I2" s="7"/>
      <c r="J2" s="7"/>
      <c r="K2" s="7"/>
      <c r="L2" s="7"/>
      <c r="M2" s="7"/>
    </row>
    <row r="4" spans="1:13">
      <c r="A4" s="1" t="s">
        <v>9</v>
      </c>
      <c r="B4" s="1" t="s">
        <v>15</v>
      </c>
      <c r="C4" s="2"/>
      <c r="D4" s="1" t="s">
        <v>9</v>
      </c>
      <c r="E4" s="1" t="s">
        <v>2</v>
      </c>
    </row>
    <row r="5" spans="1:13">
      <c r="A5" s="2">
        <v>10000</v>
      </c>
      <c r="B5" s="3">
        <v>100000000</v>
      </c>
      <c r="C5" s="2"/>
      <c r="D5" s="2">
        <v>10000</v>
      </c>
      <c r="E5" s="4">
        <v>8.1000000000000003E-2</v>
      </c>
    </row>
    <row r="6" spans="1:13">
      <c r="A6" s="2">
        <v>20000</v>
      </c>
      <c r="B6" s="3">
        <v>400000000</v>
      </c>
      <c r="C6" s="2"/>
      <c r="D6" s="2">
        <v>20000</v>
      </c>
      <c r="E6" s="4">
        <v>0.23200000000000001</v>
      </c>
    </row>
    <row r="7" spans="1:13">
      <c r="A7" s="2">
        <v>30000</v>
      </c>
      <c r="B7" s="3">
        <v>900000000</v>
      </c>
      <c r="C7" s="2"/>
      <c r="D7" s="2">
        <v>30000</v>
      </c>
      <c r="E7" s="4">
        <v>0.503</v>
      </c>
    </row>
    <row r="8" spans="1:13">
      <c r="A8" s="2">
        <v>50000</v>
      </c>
      <c r="B8" s="3">
        <v>2500000000</v>
      </c>
      <c r="C8" s="2"/>
      <c r="D8" s="2">
        <v>50000</v>
      </c>
      <c r="E8" s="4">
        <v>1.3149999999999999</v>
      </c>
    </row>
    <row r="9" spans="1:13">
      <c r="A9" s="2"/>
      <c r="B9" s="2"/>
      <c r="C9" s="2"/>
      <c r="D9" s="2"/>
      <c r="E9" s="2"/>
    </row>
    <row r="10" spans="1:13">
      <c r="A10" s="2"/>
      <c r="B10" s="2"/>
      <c r="C10" s="2"/>
      <c r="D10" s="2"/>
      <c r="E10" s="2"/>
    </row>
    <row r="11" spans="1:13">
      <c r="A11" s="1" t="s">
        <v>9</v>
      </c>
      <c r="B11" s="1" t="s">
        <v>16</v>
      </c>
      <c r="C11" s="1" t="s">
        <v>17</v>
      </c>
      <c r="D11" s="1" t="s">
        <v>18</v>
      </c>
      <c r="E11" s="2"/>
    </row>
    <row r="12" spans="1:13">
      <c r="A12" s="2">
        <v>10000</v>
      </c>
      <c r="B12" s="4">
        <v>8.1000000000000003E-2</v>
      </c>
      <c r="C12" s="4">
        <v>6.5000000000000002E-2</v>
      </c>
      <c r="D12" s="4">
        <f>AVERAGE(B12:C12)</f>
        <v>7.3000000000000009E-2</v>
      </c>
      <c r="E12" s="2"/>
    </row>
    <row r="13" spans="1:13">
      <c r="A13" s="2">
        <v>20000</v>
      </c>
      <c r="B13" s="4">
        <v>0.23200000000000001</v>
      </c>
      <c r="C13" s="4">
        <v>0.216</v>
      </c>
      <c r="D13" s="4">
        <f>AVERAGE(B13:C13)</f>
        <v>0.224</v>
      </c>
      <c r="E13" s="2"/>
    </row>
    <row r="14" spans="1:13">
      <c r="A14" s="2">
        <v>30000</v>
      </c>
      <c r="B14" s="4">
        <v>0.503</v>
      </c>
      <c r="C14" s="4">
        <v>0.47899999999999998</v>
      </c>
      <c r="D14" s="4">
        <f>AVERAGE(B14:C14)</f>
        <v>0.49099999999999999</v>
      </c>
      <c r="E14" s="2"/>
    </row>
    <row r="15" spans="1:13">
      <c r="A15" s="2">
        <v>50000</v>
      </c>
      <c r="B15" s="4">
        <v>1.3149999999999999</v>
      </c>
      <c r="C15" s="4">
        <v>1.3520000000000001</v>
      </c>
      <c r="D15" s="4">
        <f>AVERAGE(B15:C15)</f>
        <v>1.3334999999999999</v>
      </c>
      <c r="E15" s="2"/>
    </row>
    <row r="18" spans="1:13">
      <c r="A18" s="8" t="s">
        <v>19</v>
      </c>
      <c r="B18" s="8"/>
      <c r="C18" s="8"/>
      <c r="D18" s="8"/>
      <c r="E18" s="8"/>
      <c r="F18" s="8"/>
      <c r="G18" s="8"/>
      <c r="H18" s="8"/>
      <c r="I18" s="8"/>
      <c r="J18" s="8"/>
      <c r="K18" s="8"/>
      <c r="L18" s="8"/>
      <c r="M18" s="8"/>
    </row>
    <row r="19" spans="1:13">
      <c r="A19" s="9" t="s">
        <v>29</v>
      </c>
      <c r="B19" s="9"/>
      <c r="C19" s="9"/>
      <c r="D19" s="9"/>
      <c r="E19" s="9"/>
      <c r="F19" s="9"/>
      <c r="G19" s="9"/>
      <c r="H19" s="9"/>
      <c r="I19" s="9"/>
      <c r="J19" s="9"/>
      <c r="K19" s="9"/>
      <c r="L19" s="9"/>
      <c r="M19" s="9"/>
    </row>
    <row r="20" spans="1:13">
      <c r="A20" s="9"/>
      <c r="B20" s="9"/>
      <c r="C20" s="9"/>
      <c r="D20" s="9"/>
      <c r="E20" s="9"/>
      <c r="F20" s="9"/>
      <c r="G20" s="9"/>
      <c r="H20" s="9"/>
      <c r="I20" s="9"/>
      <c r="J20" s="9"/>
      <c r="K20" s="9"/>
      <c r="L20" s="9"/>
      <c r="M20" s="9"/>
    </row>
    <row r="21" spans="1:13">
      <c r="A21" s="9"/>
      <c r="B21" s="9"/>
      <c r="C21" s="9"/>
      <c r="D21" s="9"/>
      <c r="E21" s="9"/>
      <c r="F21" s="9"/>
      <c r="G21" s="9"/>
      <c r="H21" s="9"/>
      <c r="I21" s="9"/>
      <c r="J21" s="9"/>
      <c r="K21" s="9"/>
      <c r="L21" s="9"/>
      <c r="M21" s="9"/>
    </row>
    <row r="22" spans="1:13">
      <c r="A22" s="9"/>
      <c r="B22" s="9"/>
      <c r="C22" s="9"/>
      <c r="D22" s="9"/>
      <c r="E22" s="9"/>
      <c r="F22" s="9"/>
      <c r="G22" s="9"/>
      <c r="H22" s="9"/>
      <c r="I22" s="9"/>
      <c r="J22" s="9"/>
      <c r="K22" s="9"/>
      <c r="L22" s="9"/>
      <c r="M22" s="9"/>
    </row>
    <row r="23" spans="1:13">
      <c r="A23" s="9"/>
      <c r="B23" s="9"/>
      <c r="C23" s="9"/>
      <c r="D23" s="9"/>
      <c r="E23" s="9"/>
      <c r="F23" s="9"/>
      <c r="G23" s="9"/>
      <c r="H23" s="9"/>
      <c r="I23" s="9"/>
      <c r="J23" s="9"/>
      <c r="K23" s="9"/>
      <c r="L23" s="9"/>
      <c r="M23" s="9"/>
    </row>
  </sheetData>
  <mergeCells count="4">
    <mergeCell ref="A1:M1"/>
    <mergeCell ref="A2:M2"/>
    <mergeCell ref="A18:M18"/>
    <mergeCell ref="A19:M2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3"/>
  <sheetViews>
    <sheetView rightToLeft="1" zoomScaleNormal="100" workbookViewId="0">
      <selection sqref="A1:M1"/>
    </sheetView>
  </sheetViews>
  <sheetFormatPr defaultRowHeight="13.8"/>
  <cols>
    <col min="1" max="1" width="12" customWidth="1"/>
    <col min="2" max="2" width="18" customWidth="1"/>
    <col min="3" max="3" width="14" customWidth="1"/>
    <col min="4" max="4" width="12" customWidth="1"/>
    <col min="5" max="5" width="18" customWidth="1"/>
    <col min="6" max="13" width="14" customWidth="1"/>
  </cols>
  <sheetData>
    <row r="1" spans="1:13" ht="20.85" customHeight="1">
      <c r="A1" s="6" t="s">
        <v>20</v>
      </c>
      <c r="B1" s="6"/>
      <c r="C1" s="6"/>
      <c r="D1" s="6"/>
      <c r="E1" s="6"/>
      <c r="F1" s="6"/>
      <c r="G1" s="6"/>
      <c r="H1" s="6"/>
      <c r="I1" s="6"/>
      <c r="J1" s="6"/>
      <c r="K1" s="6"/>
      <c r="L1" s="6"/>
      <c r="M1" s="6"/>
    </row>
    <row r="2" spans="1:13" ht="22.35" customHeight="1">
      <c r="A2" s="7" t="s">
        <v>14</v>
      </c>
      <c r="B2" s="7"/>
      <c r="C2" s="7"/>
      <c r="D2" s="7"/>
      <c r="E2" s="7"/>
      <c r="F2" s="7"/>
      <c r="G2" s="7"/>
      <c r="H2" s="7"/>
      <c r="I2" s="7"/>
      <c r="J2" s="7"/>
      <c r="K2" s="7"/>
      <c r="L2" s="7"/>
      <c r="M2" s="7"/>
    </row>
    <row r="4" spans="1:13">
      <c r="A4" s="1" t="s">
        <v>9</v>
      </c>
      <c r="B4" s="1" t="s">
        <v>15</v>
      </c>
      <c r="C4" s="2"/>
      <c r="D4" s="1" t="s">
        <v>9</v>
      </c>
      <c r="E4" s="1" t="s">
        <v>2</v>
      </c>
    </row>
    <row r="5" spans="1:13">
      <c r="A5" s="2">
        <v>10000</v>
      </c>
      <c r="B5" s="3">
        <v>100000000</v>
      </c>
      <c r="C5" s="2"/>
      <c r="D5" s="2">
        <v>10000</v>
      </c>
      <c r="E5" s="4">
        <v>3.5999999999999997E-2</v>
      </c>
    </row>
    <row r="6" spans="1:13">
      <c r="A6" s="2">
        <v>20000</v>
      </c>
      <c r="B6" s="3">
        <v>400000000</v>
      </c>
      <c r="C6" s="2"/>
      <c r="D6" s="2">
        <v>20000</v>
      </c>
      <c r="E6" s="4">
        <v>0.13400000000000001</v>
      </c>
    </row>
    <row r="7" spans="1:13">
      <c r="A7" s="2">
        <v>30000</v>
      </c>
      <c r="B7" s="3">
        <v>900000000</v>
      </c>
      <c r="C7" s="2"/>
      <c r="D7" s="2">
        <v>30000</v>
      </c>
      <c r="E7" s="4">
        <v>0.312</v>
      </c>
    </row>
    <row r="8" spans="1:13">
      <c r="A8" s="2">
        <v>50000</v>
      </c>
      <c r="B8" s="3">
        <v>2500000000</v>
      </c>
      <c r="C8" s="2"/>
      <c r="D8" s="2">
        <v>50000</v>
      </c>
      <c r="E8" s="4">
        <v>0.84199999999999997</v>
      </c>
    </row>
    <row r="9" spans="1:13">
      <c r="A9" s="2"/>
      <c r="B9" s="2"/>
      <c r="C9" s="2"/>
      <c r="D9" s="2"/>
      <c r="E9" s="2"/>
    </row>
    <row r="10" spans="1:13">
      <c r="A10" s="2"/>
      <c r="B10" s="2"/>
      <c r="C10" s="2"/>
      <c r="D10" s="2"/>
      <c r="E10" s="2"/>
    </row>
    <row r="11" spans="1:13">
      <c r="A11" s="1" t="s">
        <v>9</v>
      </c>
      <c r="B11" s="1" t="s">
        <v>16</v>
      </c>
      <c r="C11" s="1" t="s">
        <v>17</v>
      </c>
      <c r="D11" s="1" t="s">
        <v>18</v>
      </c>
      <c r="E11" s="2"/>
    </row>
    <row r="12" spans="1:13">
      <c r="A12" s="2">
        <v>10000</v>
      </c>
      <c r="B12" s="4">
        <v>3.5999999999999997E-2</v>
      </c>
      <c r="C12" s="4">
        <v>3.9E-2</v>
      </c>
      <c r="D12" s="4">
        <f>AVERAGE(B12:C12)</f>
        <v>3.7499999999999999E-2</v>
      </c>
      <c r="E12" s="2"/>
    </row>
    <row r="13" spans="1:13">
      <c r="A13" s="2">
        <v>20000</v>
      </c>
      <c r="B13" s="4">
        <v>0.13400000000000001</v>
      </c>
      <c r="C13" s="4">
        <v>0.13500000000000001</v>
      </c>
      <c r="D13" s="4">
        <f>AVERAGE(B13:C13)</f>
        <v>0.13450000000000001</v>
      </c>
    </row>
    <row r="14" spans="1:13">
      <c r="A14" s="2">
        <v>30000</v>
      </c>
      <c r="B14" s="4">
        <v>0.312</v>
      </c>
      <c r="C14" s="4">
        <v>0.29699999999999999</v>
      </c>
      <c r="D14" s="4">
        <f>AVERAGE(B14:C14)</f>
        <v>0.30449999999999999</v>
      </c>
      <c r="E14" s="2"/>
    </row>
    <row r="15" spans="1:13">
      <c r="A15" s="2">
        <v>50000</v>
      </c>
      <c r="B15" s="4">
        <v>0.84199999999999997</v>
      </c>
      <c r="C15" s="4">
        <v>0.84299999999999997</v>
      </c>
      <c r="D15" s="4">
        <f>AVERAGE(B15:C15)</f>
        <v>0.84250000000000003</v>
      </c>
      <c r="E15" s="2"/>
    </row>
    <row r="18" spans="1:13">
      <c r="A18" s="8" t="s">
        <v>19</v>
      </c>
      <c r="B18" s="8"/>
      <c r="C18" s="8"/>
      <c r="D18" s="8"/>
      <c r="E18" s="8"/>
      <c r="F18" s="8"/>
      <c r="G18" s="8"/>
      <c r="H18" s="8"/>
      <c r="I18" s="8"/>
      <c r="J18" s="8"/>
      <c r="K18" s="8"/>
      <c r="L18" s="8"/>
      <c r="M18" s="8"/>
    </row>
    <row r="19" spans="1:13">
      <c r="A19" s="9" t="s">
        <v>30</v>
      </c>
      <c r="B19" s="9"/>
      <c r="C19" s="9"/>
      <c r="D19" s="9"/>
      <c r="E19" s="9"/>
      <c r="F19" s="9"/>
      <c r="G19" s="9"/>
      <c r="H19" s="9"/>
      <c r="I19" s="9"/>
      <c r="J19" s="9"/>
      <c r="K19" s="9"/>
      <c r="L19" s="9"/>
      <c r="M19" s="9"/>
    </row>
    <row r="20" spans="1:13">
      <c r="A20" s="9"/>
      <c r="B20" s="9"/>
      <c r="C20" s="9"/>
      <c r="D20" s="9"/>
      <c r="E20" s="9"/>
      <c r="F20" s="9"/>
      <c r="G20" s="9"/>
      <c r="H20" s="9"/>
      <c r="I20" s="9"/>
      <c r="J20" s="9"/>
      <c r="K20" s="9"/>
      <c r="L20" s="9"/>
      <c r="M20" s="9"/>
    </row>
    <row r="21" spans="1:13">
      <c r="A21" s="9"/>
      <c r="B21" s="9"/>
      <c r="C21" s="9"/>
      <c r="D21" s="9"/>
      <c r="E21" s="9"/>
      <c r="F21" s="9"/>
      <c r="G21" s="9"/>
      <c r="H21" s="9"/>
      <c r="I21" s="9"/>
      <c r="J21" s="9"/>
      <c r="K21" s="9"/>
      <c r="L21" s="9"/>
      <c r="M21" s="9"/>
    </row>
    <row r="22" spans="1:13">
      <c r="A22" s="9"/>
      <c r="B22" s="9"/>
      <c r="C22" s="9"/>
      <c r="D22" s="9"/>
      <c r="E22" s="9"/>
      <c r="F22" s="9"/>
      <c r="G22" s="9"/>
      <c r="H22" s="9"/>
      <c r="I22" s="9"/>
      <c r="J22" s="9"/>
      <c r="K22" s="9"/>
      <c r="L22" s="9"/>
      <c r="M22" s="9"/>
    </row>
    <row r="23" spans="1:13">
      <c r="A23" s="9"/>
      <c r="B23" s="9"/>
      <c r="C23" s="9"/>
      <c r="D23" s="9"/>
      <c r="E23" s="9"/>
      <c r="F23" s="9"/>
      <c r="G23" s="9"/>
      <c r="H23" s="9"/>
      <c r="I23" s="9"/>
      <c r="J23" s="9"/>
      <c r="K23" s="9"/>
      <c r="L23" s="9"/>
      <c r="M23" s="9"/>
    </row>
  </sheetData>
  <mergeCells count="4">
    <mergeCell ref="A1:M1"/>
    <mergeCell ref="A2:M2"/>
    <mergeCell ref="A18:M18"/>
    <mergeCell ref="A19:M2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3"/>
  <sheetViews>
    <sheetView rightToLeft="1" zoomScaleNormal="100" workbookViewId="0">
      <selection sqref="A1:M1"/>
    </sheetView>
  </sheetViews>
  <sheetFormatPr defaultRowHeight="13.8"/>
  <cols>
    <col min="1" max="1" width="12" customWidth="1"/>
    <col min="2" max="2" width="18" customWidth="1"/>
    <col min="3" max="3" width="14" customWidth="1"/>
    <col min="4" max="4" width="12" customWidth="1"/>
    <col min="5" max="5" width="18" customWidth="1"/>
    <col min="6" max="13" width="14" customWidth="1"/>
  </cols>
  <sheetData>
    <row r="1" spans="1:13" ht="20.85" customHeight="1">
      <c r="A1" s="6" t="s">
        <v>21</v>
      </c>
      <c r="B1" s="6"/>
      <c r="C1" s="6"/>
      <c r="D1" s="6"/>
      <c r="E1" s="6"/>
      <c r="F1" s="6"/>
      <c r="G1" s="6"/>
      <c r="H1" s="6"/>
      <c r="I1" s="6"/>
      <c r="J1" s="6"/>
      <c r="K1" s="6"/>
      <c r="L1" s="6"/>
      <c r="M1" s="6"/>
    </row>
    <row r="2" spans="1:13" ht="22.35" customHeight="1">
      <c r="A2" s="7" t="s">
        <v>22</v>
      </c>
      <c r="B2" s="7"/>
      <c r="C2" s="7"/>
      <c r="D2" s="7"/>
      <c r="E2" s="7"/>
      <c r="F2" s="7"/>
      <c r="G2" s="7"/>
      <c r="H2" s="7"/>
      <c r="I2" s="7"/>
      <c r="J2" s="7"/>
      <c r="K2" s="7"/>
      <c r="L2" s="7"/>
      <c r="M2" s="7"/>
    </row>
    <row r="4" spans="1:13">
      <c r="A4" s="1" t="s">
        <v>9</v>
      </c>
      <c r="B4" s="1" t="s">
        <v>15</v>
      </c>
      <c r="C4" s="2"/>
      <c r="D4" s="1" t="s">
        <v>9</v>
      </c>
      <c r="E4" s="1" t="s">
        <v>2</v>
      </c>
    </row>
    <row r="5" spans="1:13">
      <c r="A5" s="2">
        <v>10000</v>
      </c>
      <c r="B5" s="3">
        <v>132877</v>
      </c>
      <c r="C5" s="2"/>
      <c r="D5" s="2">
        <v>10000</v>
      </c>
      <c r="E5" s="4">
        <v>3.0000000000000001E-3</v>
      </c>
    </row>
    <row r="6" spans="1:13">
      <c r="A6" s="2">
        <v>20000</v>
      </c>
      <c r="B6" s="3">
        <v>285754</v>
      </c>
      <c r="C6" s="2"/>
      <c r="D6" s="2">
        <v>20000</v>
      </c>
      <c r="E6" s="4">
        <v>7.0000000000000001E-3</v>
      </c>
    </row>
    <row r="7" spans="1:13">
      <c r="A7" s="2">
        <v>30000</v>
      </c>
      <c r="B7" s="3">
        <v>446180</v>
      </c>
      <c r="C7" s="2"/>
      <c r="D7" s="2">
        <v>30000</v>
      </c>
      <c r="E7" s="4">
        <v>0.01</v>
      </c>
    </row>
    <row r="8" spans="1:13">
      <c r="A8" s="2">
        <v>50000</v>
      </c>
      <c r="B8" s="3">
        <v>780482</v>
      </c>
      <c r="C8" s="2"/>
      <c r="D8" s="2">
        <v>50000</v>
      </c>
      <c r="E8" s="4">
        <v>1.7000000000000001E-2</v>
      </c>
    </row>
    <row r="9" spans="1:13">
      <c r="A9" s="2"/>
      <c r="B9" s="2"/>
      <c r="C9" s="2"/>
      <c r="D9" s="2"/>
      <c r="E9" s="2"/>
    </row>
    <row r="10" spans="1:13">
      <c r="A10" s="2"/>
      <c r="B10" s="2"/>
      <c r="C10" s="2"/>
      <c r="D10" s="2"/>
      <c r="E10" s="2"/>
    </row>
    <row r="11" spans="1:13">
      <c r="A11" s="1" t="s">
        <v>9</v>
      </c>
      <c r="B11" s="1" t="s">
        <v>16</v>
      </c>
      <c r="C11" s="1" t="s">
        <v>17</v>
      </c>
      <c r="D11" s="1" t="s">
        <v>18</v>
      </c>
      <c r="E11" s="2"/>
    </row>
    <row r="12" spans="1:13">
      <c r="A12" s="2">
        <v>10000</v>
      </c>
      <c r="B12" s="4">
        <v>3.0000000000000001E-3</v>
      </c>
      <c r="C12" s="4">
        <v>4.0000000000000001E-3</v>
      </c>
      <c r="D12" s="4">
        <f>AVERAGE(B12:C12)</f>
        <v>3.5000000000000001E-3</v>
      </c>
      <c r="E12" s="2"/>
    </row>
    <row r="13" spans="1:13">
      <c r="A13" s="2">
        <v>20000</v>
      </c>
      <c r="B13" s="4">
        <v>7.0000000000000001E-3</v>
      </c>
      <c r="C13" s="4">
        <v>7.0000000000000001E-3</v>
      </c>
      <c r="D13" s="4">
        <f>AVERAGE(B13:C13)</f>
        <v>7.0000000000000001E-3</v>
      </c>
      <c r="E13" s="2"/>
    </row>
    <row r="14" spans="1:13">
      <c r="A14" s="2">
        <v>30000</v>
      </c>
      <c r="B14" s="4">
        <v>0.01</v>
      </c>
      <c r="C14" s="4">
        <v>8.9999999999999993E-3</v>
      </c>
      <c r="D14" s="4">
        <f>AVERAGE(B14:C14)</f>
        <v>9.4999999999999998E-3</v>
      </c>
      <c r="E14" s="2"/>
    </row>
    <row r="15" spans="1:13">
      <c r="A15" s="2">
        <v>50000</v>
      </c>
      <c r="B15" s="4">
        <v>1.7000000000000001E-2</v>
      </c>
      <c r="C15" s="4">
        <v>1.4999999999999999E-2</v>
      </c>
      <c r="D15" s="4">
        <f>AVERAGE(B15:C15)</f>
        <v>1.6E-2</v>
      </c>
      <c r="E15" s="2"/>
    </row>
    <row r="18" spans="1:13">
      <c r="A18" s="8" t="s">
        <v>19</v>
      </c>
      <c r="B18" s="8"/>
      <c r="C18" s="8"/>
      <c r="D18" s="8"/>
      <c r="E18" s="8"/>
      <c r="F18" s="8"/>
      <c r="G18" s="8"/>
      <c r="H18" s="8"/>
      <c r="I18" s="8"/>
      <c r="J18" s="8"/>
      <c r="K18" s="8"/>
      <c r="L18" s="8"/>
      <c r="M18" s="8"/>
    </row>
    <row r="19" spans="1:13">
      <c r="A19" s="9" t="s">
        <v>31</v>
      </c>
      <c r="B19" s="9"/>
      <c r="C19" s="9"/>
      <c r="D19" s="9"/>
      <c r="E19" s="9"/>
      <c r="F19" s="9"/>
      <c r="G19" s="9"/>
      <c r="H19" s="9"/>
      <c r="I19" s="9"/>
      <c r="J19" s="9"/>
      <c r="K19" s="9"/>
      <c r="L19" s="9"/>
      <c r="M19" s="9"/>
    </row>
    <row r="20" spans="1:13">
      <c r="A20" s="9"/>
      <c r="B20" s="9"/>
      <c r="C20" s="9"/>
      <c r="D20" s="9"/>
      <c r="E20" s="9"/>
      <c r="F20" s="9"/>
      <c r="G20" s="9"/>
      <c r="H20" s="9"/>
      <c r="I20" s="9"/>
      <c r="J20" s="9"/>
      <c r="K20" s="9"/>
      <c r="L20" s="9"/>
      <c r="M20" s="9"/>
    </row>
    <row r="21" spans="1:13">
      <c r="A21" s="9"/>
      <c r="B21" s="9"/>
      <c r="C21" s="9"/>
      <c r="D21" s="9"/>
      <c r="E21" s="9"/>
      <c r="F21" s="9"/>
      <c r="G21" s="9"/>
      <c r="H21" s="9"/>
      <c r="I21" s="9"/>
      <c r="J21" s="9"/>
      <c r="K21" s="9"/>
      <c r="L21" s="9"/>
      <c r="M21" s="9"/>
    </row>
    <row r="22" spans="1:13">
      <c r="A22" s="9"/>
      <c r="B22" s="9"/>
      <c r="C22" s="9"/>
      <c r="D22" s="9"/>
      <c r="E22" s="9"/>
      <c r="F22" s="9"/>
      <c r="G22" s="9"/>
      <c r="H22" s="9"/>
      <c r="I22" s="9"/>
      <c r="J22" s="9"/>
      <c r="K22" s="9"/>
      <c r="L22" s="9"/>
      <c r="M22" s="9"/>
    </row>
    <row r="23" spans="1:13">
      <c r="A23" s="9"/>
      <c r="B23" s="9"/>
      <c r="C23" s="9"/>
      <c r="D23" s="9"/>
      <c r="E23" s="9"/>
      <c r="F23" s="9"/>
      <c r="G23" s="9"/>
      <c r="H23" s="9"/>
      <c r="I23" s="9"/>
      <c r="J23" s="9"/>
      <c r="K23" s="9"/>
      <c r="L23" s="9"/>
      <c r="M23" s="9"/>
    </row>
  </sheetData>
  <mergeCells count="4">
    <mergeCell ref="A1:M1"/>
    <mergeCell ref="A2:M2"/>
    <mergeCell ref="A18:M18"/>
    <mergeCell ref="A19:M2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3"/>
  <sheetViews>
    <sheetView rightToLeft="1" zoomScaleNormal="100" workbookViewId="0">
      <selection sqref="A1:M1"/>
    </sheetView>
  </sheetViews>
  <sheetFormatPr defaultRowHeight="13.8"/>
  <cols>
    <col min="1" max="1" width="12" customWidth="1"/>
    <col min="2" max="2" width="18" customWidth="1"/>
    <col min="3" max="3" width="14" customWidth="1"/>
    <col min="4" max="4" width="12" customWidth="1"/>
    <col min="5" max="5" width="18" customWidth="1"/>
    <col min="6" max="13" width="14" customWidth="1"/>
  </cols>
  <sheetData>
    <row r="1" spans="1:13" ht="20.85" customHeight="1">
      <c r="A1" s="6" t="s">
        <v>23</v>
      </c>
      <c r="B1" s="6"/>
      <c r="C1" s="6"/>
      <c r="D1" s="6"/>
      <c r="E1" s="6"/>
      <c r="F1" s="6"/>
      <c r="G1" s="6"/>
      <c r="H1" s="6"/>
      <c r="I1" s="6"/>
      <c r="J1" s="6"/>
      <c r="K1" s="6"/>
      <c r="L1" s="6"/>
      <c r="M1" s="6"/>
    </row>
    <row r="2" spans="1:13" ht="22.35" customHeight="1">
      <c r="A2" s="7" t="s">
        <v>24</v>
      </c>
      <c r="B2" s="7"/>
      <c r="C2" s="7"/>
      <c r="D2" s="7"/>
      <c r="E2" s="7"/>
      <c r="F2" s="7"/>
      <c r="G2" s="7"/>
      <c r="H2" s="7"/>
      <c r="I2" s="7"/>
      <c r="J2" s="7"/>
      <c r="K2" s="7"/>
      <c r="L2" s="7"/>
      <c r="M2" s="7"/>
    </row>
    <row r="4" spans="1:13">
      <c r="A4" s="1" t="s">
        <v>9</v>
      </c>
      <c r="B4" s="1" t="s">
        <v>15</v>
      </c>
      <c r="C4" s="2"/>
      <c r="D4" s="1" t="s">
        <v>9</v>
      </c>
      <c r="E4" s="1" t="s">
        <v>2</v>
      </c>
    </row>
    <row r="5" spans="1:13">
      <c r="A5" s="2">
        <v>10000</v>
      </c>
      <c r="B5" s="3">
        <v>100000000</v>
      </c>
      <c r="C5" s="2"/>
      <c r="D5" s="2">
        <v>10000</v>
      </c>
      <c r="E5" s="4">
        <v>3.0000000000000001E-3</v>
      </c>
    </row>
    <row r="6" spans="1:13">
      <c r="A6" s="2">
        <v>20000</v>
      </c>
      <c r="B6" s="3">
        <v>400000000</v>
      </c>
      <c r="C6" s="2"/>
      <c r="D6" s="2">
        <v>20000</v>
      </c>
      <c r="E6" s="4">
        <v>0.01</v>
      </c>
    </row>
    <row r="7" spans="1:13">
      <c r="A7" s="2">
        <v>30000</v>
      </c>
      <c r="B7" s="3">
        <v>900000000</v>
      </c>
      <c r="C7" s="2"/>
      <c r="D7" s="2">
        <v>30000</v>
      </c>
      <c r="E7" s="4">
        <v>2.1000000000000001E-2</v>
      </c>
    </row>
    <row r="8" spans="1:13">
      <c r="A8" s="2">
        <v>50000</v>
      </c>
      <c r="B8" s="3">
        <v>2500000000</v>
      </c>
      <c r="C8" s="2"/>
      <c r="D8" s="2">
        <v>50000</v>
      </c>
      <c r="E8" s="4">
        <v>5.6000000000000001E-2</v>
      </c>
    </row>
    <row r="9" spans="1:13">
      <c r="A9" s="2"/>
      <c r="B9" s="2"/>
      <c r="C9" s="2"/>
      <c r="D9" s="2"/>
      <c r="E9" s="2"/>
    </row>
    <row r="10" spans="1:13">
      <c r="A10" s="2"/>
      <c r="B10" s="2"/>
      <c r="C10" s="2"/>
      <c r="D10" s="2"/>
      <c r="E10" s="2"/>
    </row>
    <row r="11" spans="1:13">
      <c r="A11" s="1" t="s">
        <v>9</v>
      </c>
      <c r="B11" s="1" t="s">
        <v>16</v>
      </c>
      <c r="C11" s="1" t="s">
        <v>17</v>
      </c>
      <c r="D11" s="1" t="s">
        <v>18</v>
      </c>
      <c r="E11" s="2"/>
    </row>
    <row r="12" spans="1:13">
      <c r="A12" s="2">
        <v>10000</v>
      </c>
      <c r="B12" s="4">
        <v>3.0000000000000001E-3</v>
      </c>
      <c r="C12" s="4">
        <v>3.0000000000000001E-3</v>
      </c>
      <c r="D12" s="4">
        <f>AVERAGE(B12:C12)</f>
        <v>3.0000000000000001E-3</v>
      </c>
      <c r="E12" s="2"/>
    </row>
    <row r="13" spans="1:13">
      <c r="A13" s="2">
        <v>20000</v>
      </c>
      <c r="B13" s="4">
        <v>0.01</v>
      </c>
      <c r="C13" s="4">
        <v>8.9999999999999993E-3</v>
      </c>
      <c r="D13" s="4">
        <f>AVERAGE(B13:C13)</f>
        <v>9.4999999999999998E-3</v>
      </c>
      <c r="E13" s="2"/>
    </row>
    <row r="14" spans="1:13">
      <c r="A14" s="2">
        <v>30000</v>
      </c>
      <c r="B14" s="4">
        <v>2.1000000000000001E-2</v>
      </c>
      <c r="C14" s="4">
        <v>1.9E-2</v>
      </c>
      <c r="D14" s="4">
        <f>AVERAGE(B14:C14)</f>
        <v>0.02</v>
      </c>
      <c r="E14" s="2"/>
    </row>
    <row r="15" spans="1:13">
      <c r="A15" s="2">
        <v>50000</v>
      </c>
      <c r="B15" s="4">
        <v>5.6000000000000001E-2</v>
      </c>
      <c r="C15" s="4">
        <v>5.2999999999999999E-2</v>
      </c>
      <c r="D15" s="4">
        <f>AVERAGE(B15:C15)</f>
        <v>5.45E-2</v>
      </c>
      <c r="E15" s="2"/>
    </row>
    <row r="18" spans="1:13">
      <c r="A18" s="8" t="s">
        <v>19</v>
      </c>
      <c r="B18" s="8"/>
      <c r="C18" s="8"/>
      <c r="D18" s="8"/>
      <c r="E18" s="8"/>
      <c r="F18" s="8"/>
      <c r="G18" s="8"/>
      <c r="H18" s="8"/>
      <c r="I18" s="8"/>
      <c r="J18" s="8"/>
      <c r="K18" s="8"/>
      <c r="L18" s="8"/>
      <c r="M18" s="8"/>
    </row>
    <row r="19" spans="1:13">
      <c r="A19" s="9" t="s">
        <v>25</v>
      </c>
      <c r="B19" s="9"/>
      <c r="C19" s="9"/>
      <c r="D19" s="9"/>
      <c r="E19" s="9"/>
      <c r="F19" s="9"/>
      <c r="G19" s="9"/>
      <c r="H19" s="9"/>
      <c r="I19" s="9"/>
      <c r="J19" s="9"/>
      <c r="K19" s="9"/>
      <c r="L19" s="9"/>
      <c r="M19" s="9"/>
    </row>
    <row r="20" spans="1:13">
      <c r="A20" s="9"/>
      <c r="B20" s="9"/>
      <c r="C20" s="9"/>
      <c r="D20" s="9"/>
      <c r="E20" s="9"/>
      <c r="F20" s="9"/>
      <c r="G20" s="9"/>
      <c r="H20" s="9"/>
      <c r="I20" s="9"/>
      <c r="J20" s="9"/>
      <c r="K20" s="9"/>
      <c r="L20" s="9"/>
      <c r="M20" s="9"/>
    </row>
    <row r="21" spans="1:13">
      <c r="A21" s="9"/>
      <c r="B21" s="9"/>
      <c r="C21" s="9"/>
      <c r="D21" s="9"/>
      <c r="E21" s="9"/>
      <c r="F21" s="9"/>
      <c r="G21" s="9"/>
      <c r="H21" s="9"/>
      <c r="I21" s="9"/>
      <c r="J21" s="9"/>
      <c r="K21" s="9"/>
      <c r="L21" s="9"/>
      <c r="M21" s="9"/>
    </row>
    <row r="22" spans="1:13">
      <c r="A22" s="9"/>
      <c r="B22" s="9"/>
      <c r="C22" s="9"/>
      <c r="D22" s="9"/>
      <c r="E22" s="9"/>
      <c r="F22" s="9"/>
      <c r="G22" s="9"/>
      <c r="H22" s="9"/>
      <c r="I22" s="9"/>
      <c r="J22" s="9"/>
      <c r="K22" s="9"/>
      <c r="L22" s="9"/>
      <c r="M22" s="9"/>
    </row>
    <row r="23" spans="1:13">
      <c r="A23" s="9"/>
      <c r="B23" s="9"/>
      <c r="C23" s="9"/>
      <c r="D23" s="9"/>
      <c r="E23" s="9"/>
      <c r="F23" s="9"/>
      <c r="G23" s="9"/>
      <c r="H23" s="9"/>
      <c r="I23" s="9"/>
      <c r="J23" s="9"/>
      <c r="K23" s="9"/>
      <c r="L23" s="9"/>
      <c r="M23" s="9"/>
    </row>
  </sheetData>
  <mergeCells count="4">
    <mergeCell ref="A1:M1"/>
    <mergeCell ref="A2:M2"/>
    <mergeCell ref="A18:M18"/>
    <mergeCell ref="A19:M2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3"/>
  <sheetViews>
    <sheetView rightToLeft="1" zoomScaleNormal="100" workbookViewId="0">
      <selection sqref="A1:M1"/>
    </sheetView>
  </sheetViews>
  <sheetFormatPr defaultRowHeight="13.8"/>
  <cols>
    <col min="1" max="1" width="12" customWidth="1"/>
    <col min="2" max="2" width="18" customWidth="1"/>
    <col min="3" max="3" width="14" customWidth="1"/>
    <col min="4" max="4" width="12" customWidth="1"/>
    <col min="5" max="5" width="18" customWidth="1"/>
    <col min="6" max="13" width="14" customWidth="1"/>
  </cols>
  <sheetData>
    <row r="1" spans="1:13" ht="20.85" customHeight="1">
      <c r="A1" s="6" t="s">
        <v>26</v>
      </c>
      <c r="B1" s="6"/>
      <c r="C1" s="6"/>
      <c r="D1" s="6"/>
      <c r="E1" s="6"/>
      <c r="F1" s="6"/>
      <c r="G1" s="6"/>
      <c r="H1" s="6"/>
      <c r="I1" s="6"/>
      <c r="J1" s="6"/>
      <c r="K1" s="6"/>
      <c r="L1" s="6"/>
      <c r="M1" s="6"/>
    </row>
    <row r="2" spans="1:13" ht="22.35" customHeight="1">
      <c r="A2" s="7" t="s">
        <v>22</v>
      </c>
      <c r="B2" s="7"/>
      <c r="C2" s="7"/>
      <c r="D2" s="7"/>
      <c r="E2" s="7"/>
      <c r="F2" s="7"/>
      <c r="G2" s="7"/>
      <c r="H2" s="7"/>
      <c r="I2" s="7"/>
      <c r="J2" s="7"/>
      <c r="K2" s="7"/>
      <c r="L2" s="7"/>
      <c r="M2" s="7"/>
    </row>
    <row r="4" spans="1:13">
      <c r="A4" s="1" t="s">
        <v>9</v>
      </c>
      <c r="B4" s="1" t="s">
        <v>15</v>
      </c>
      <c r="C4" s="2"/>
      <c r="D4" s="1" t="s">
        <v>9</v>
      </c>
      <c r="E4" s="1" t="s">
        <v>2</v>
      </c>
    </row>
    <row r="5" spans="1:13">
      <c r="A5" s="2">
        <v>10000</v>
      </c>
      <c r="B5" s="3">
        <v>132877</v>
      </c>
      <c r="C5" s="2"/>
      <c r="D5" s="2">
        <v>10000</v>
      </c>
      <c r="E5" s="4">
        <v>2E-3</v>
      </c>
    </row>
    <row r="6" spans="1:13">
      <c r="A6" s="2">
        <v>20000</v>
      </c>
      <c r="B6" s="3">
        <v>285754</v>
      </c>
      <c r="C6" s="2"/>
      <c r="D6" s="2">
        <v>20000</v>
      </c>
      <c r="E6" s="4">
        <v>3.0000000000000001E-3</v>
      </c>
    </row>
    <row r="7" spans="1:13">
      <c r="A7" s="2">
        <v>30000</v>
      </c>
      <c r="B7" s="3">
        <v>446180</v>
      </c>
      <c r="C7" s="2"/>
      <c r="D7" s="2">
        <v>30000</v>
      </c>
      <c r="E7" s="4">
        <v>5.0000000000000001E-3</v>
      </c>
    </row>
    <row r="8" spans="1:13">
      <c r="A8" s="2">
        <v>50000</v>
      </c>
      <c r="B8" s="3">
        <v>780482</v>
      </c>
      <c r="C8" s="2"/>
      <c r="D8" s="2">
        <v>50000</v>
      </c>
      <c r="E8" s="4">
        <v>7.0000000000000001E-3</v>
      </c>
    </row>
    <row r="9" spans="1:13">
      <c r="A9" s="2"/>
      <c r="B9" s="2"/>
      <c r="C9" s="2"/>
      <c r="D9" s="2"/>
      <c r="E9" s="2"/>
    </row>
    <row r="10" spans="1:13">
      <c r="A10" s="2"/>
      <c r="B10" s="2"/>
      <c r="C10" s="2"/>
      <c r="D10" s="2"/>
      <c r="E10" s="2"/>
    </row>
    <row r="11" spans="1:13">
      <c r="A11" s="1" t="s">
        <v>9</v>
      </c>
      <c r="B11" s="1" t="s">
        <v>16</v>
      </c>
      <c r="C11" s="1" t="s">
        <v>17</v>
      </c>
      <c r="D11" s="1" t="s">
        <v>18</v>
      </c>
      <c r="E11" s="2"/>
    </row>
    <row r="12" spans="1:13">
      <c r="A12" s="2">
        <v>10000</v>
      </c>
      <c r="B12" s="4">
        <v>2E-3</v>
      </c>
      <c r="C12" s="4">
        <v>2E-3</v>
      </c>
      <c r="D12" s="4">
        <f>AVERAGE(B12:C12)</f>
        <v>2E-3</v>
      </c>
      <c r="E12" s="2"/>
    </row>
    <row r="13" spans="1:13">
      <c r="A13" s="2">
        <v>20000</v>
      </c>
      <c r="B13" s="4">
        <v>3.0000000000000001E-3</v>
      </c>
      <c r="C13" s="4">
        <v>3.0000000000000001E-3</v>
      </c>
      <c r="D13" s="4">
        <f>AVERAGE(B13:C13)</f>
        <v>3.0000000000000001E-3</v>
      </c>
      <c r="E13" s="2"/>
    </row>
    <row r="14" spans="1:13">
      <c r="A14" s="2">
        <v>30000</v>
      </c>
      <c r="B14" s="4">
        <v>5.0000000000000001E-3</v>
      </c>
      <c r="C14" s="4">
        <v>4.0000000000000001E-3</v>
      </c>
      <c r="D14" s="4">
        <f>AVERAGE(B14:C14)</f>
        <v>4.5000000000000005E-3</v>
      </c>
      <c r="E14" s="2"/>
    </row>
    <row r="15" spans="1:13">
      <c r="A15" s="2">
        <v>50000</v>
      </c>
      <c r="B15" s="4">
        <v>7.0000000000000001E-3</v>
      </c>
      <c r="C15" s="4">
        <v>8.0000000000000002E-3</v>
      </c>
      <c r="D15" s="4">
        <f>AVERAGE(B15:C15)</f>
        <v>7.4999999999999997E-3</v>
      </c>
      <c r="E15" s="2"/>
    </row>
    <row r="18" spans="1:13">
      <c r="A18" s="8" t="s">
        <v>19</v>
      </c>
      <c r="B18" s="8"/>
      <c r="C18" s="8"/>
      <c r="D18" s="8"/>
      <c r="E18" s="8"/>
      <c r="F18" s="8"/>
      <c r="G18" s="8"/>
      <c r="H18" s="8"/>
      <c r="I18" s="8"/>
      <c r="J18" s="8"/>
      <c r="K18" s="8"/>
      <c r="L18" s="8"/>
      <c r="M18" s="8"/>
    </row>
    <row r="19" spans="1:13">
      <c r="A19" s="9" t="s">
        <v>32</v>
      </c>
      <c r="B19" s="9"/>
      <c r="C19" s="9"/>
      <c r="D19" s="9"/>
      <c r="E19" s="9"/>
      <c r="F19" s="9"/>
      <c r="G19" s="9"/>
      <c r="H19" s="9"/>
      <c r="I19" s="9"/>
      <c r="J19" s="9"/>
      <c r="K19" s="9"/>
      <c r="L19" s="9"/>
      <c r="M19" s="9"/>
    </row>
    <row r="20" spans="1:13">
      <c r="A20" s="9"/>
      <c r="B20" s="9"/>
      <c r="C20" s="9"/>
      <c r="D20" s="9"/>
      <c r="E20" s="9"/>
      <c r="F20" s="9"/>
      <c r="G20" s="9"/>
      <c r="H20" s="9"/>
      <c r="I20" s="9"/>
      <c r="J20" s="9"/>
      <c r="K20" s="9"/>
      <c r="L20" s="9"/>
      <c r="M20" s="9"/>
    </row>
    <row r="21" spans="1:13">
      <c r="A21" s="9"/>
      <c r="B21" s="9"/>
      <c r="C21" s="9"/>
      <c r="D21" s="9"/>
      <c r="E21" s="9"/>
      <c r="F21" s="9"/>
      <c r="G21" s="9"/>
      <c r="H21" s="9"/>
      <c r="I21" s="9"/>
      <c r="J21" s="9"/>
      <c r="K21" s="9"/>
      <c r="L21" s="9"/>
      <c r="M21" s="9"/>
    </row>
    <row r="22" spans="1:13">
      <c r="A22" s="9"/>
      <c r="B22" s="9"/>
      <c r="C22" s="9"/>
      <c r="D22" s="9"/>
      <c r="E22" s="9"/>
      <c r="F22" s="9"/>
      <c r="G22" s="9"/>
      <c r="H22" s="9"/>
      <c r="I22" s="9"/>
      <c r="J22" s="9"/>
      <c r="K22" s="9"/>
      <c r="L22" s="9"/>
      <c r="M22" s="9"/>
    </row>
    <row r="23" spans="1:13">
      <c r="A23" s="9"/>
      <c r="B23" s="9"/>
      <c r="C23" s="9"/>
      <c r="D23" s="9"/>
      <c r="E23" s="9"/>
      <c r="F23" s="9"/>
      <c r="G23" s="9"/>
      <c r="H23" s="9"/>
      <c r="I23" s="9"/>
      <c r="J23" s="9"/>
      <c r="K23" s="9"/>
      <c r="L23" s="9"/>
      <c r="M23" s="9"/>
    </row>
  </sheetData>
  <mergeCells count="4">
    <mergeCell ref="A1:M1"/>
    <mergeCell ref="A2:M2"/>
    <mergeCell ref="A18:M18"/>
    <mergeCell ref="A19:M2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3"/>
  <sheetViews>
    <sheetView rightToLeft="1" tabSelected="1" zoomScaleNormal="100" workbookViewId="0">
      <selection sqref="A1:M1"/>
    </sheetView>
  </sheetViews>
  <sheetFormatPr defaultRowHeight="13.8"/>
  <cols>
    <col min="1" max="1" width="12" customWidth="1"/>
    <col min="2" max="2" width="18" customWidth="1"/>
    <col min="3" max="3" width="14" customWidth="1"/>
    <col min="4" max="4" width="12" customWidth="1"/>
    <col min="5" max="5" width="18" customWidth="1"/>
    <col min="6" max="13" width="14" customWidth="1"/>
  </cols>
  <sheetData>
    <row r="1" spans="1:13" ht="20.85" customHeight="1">
      <c r="A1" s="6" t="s">
        <v>27</v>
      </c>
      <c r="B1" s="6"/>
      <c r="C1" s="6"/>
      <c r="D1" s="6"/>
      <c r="E1" s="6"/>
      <c r="F1" s="6"/>
      <c r="G1" s="6"/>
      <c r="H1" s="6"/>
      <c r="I1" s="6"/>
      <c r="J1" s="6"/>
      <c r="K1" s="6"/>
      <c r="L1" s="6"/>
      <c r="M1" s="6"/>
    </row>
    <row r="2" spans="1:13" ht="22.35" customHeight="1">
      <c r="A2" s="7" t="s">
        <v>28</v>
      </c>
      <c r="B2" s="7"/>
      <c r="C2" s="7"/>
      <c r="D2" s="7"/>
      <c r="E2" s="7"/>
      <c r="F2" s="7"/>
      <c r="G2" s="7"/>
      <c r="H2" s="7"/>
      <c r="I2" s="7"/>
      <c r="J2" s="7"/>
      <c r="K2" s="7"/>
      <c r="L2" s="7"/>
      <c r="M2" s="7"/>
    </row>
    <row r="4" spans="1:13">
      <c r="A4" s="1" t="s">
        <v>9</v>
      </c>
      <c r="B4" s="1" t="s">
        <v>15</v>
      </c>
      <c r="C4" s="2"/>
      <c r="D4" s="1" t="s">
        <v>9</v>
      </c>
      <c r="E4" s="1" t="s">
        <v>2</v>
      </c>
    </row>
    <row r="5" spans="1:13">
      <c r="A5" s="2">
        <v>10000</v>
      </c>
      <c r="B5" s="3">
        <v>10100</v>
      </c>
      <c r="C5" s="2"/>
      <c r="D5" s="2">
        <v>10000</v>
      </c>
      <c r="E5" s="4">
        <v>0</v>
      </c>
    </row>
    <row r="6" spans="1:13">
      <c r="A6" s="2">
        <v>20000</v>
      </c>
      <c r="B6" s="3">
        <v>20100</v>
      </c>
      <c r="C6" s="2"/>
      <c r="D6" s="2">
        <v>20000</v>
      </c>
      <c r="E6" s="4">
        <v>0</v>
      </c>
    </row>
    <row r="7" spans="1:13">
      <c r="A7" s="2">
        <v>30000</v>
      </c>
      <c r="B7" s="3">
        <v>30100</v>
      </c>
      <c r="C7" s="2"/>
      <c r="D7" s="2">
        <v>30000</v>
      </c>
      <c r="E7" s="4">
        <v>0</v>
      </c>
    </row>
    <row r="8" spans="1:13">
      <c r="A8" s="2">
        <v>50000</v>
      </c>
      <c r="B8" s="3">
        <v>50100</v>
      </c>
      <c r="C8" s="2"/>
      <c r="D8" s="2">
        <v>50000</v>
      </c>
      <c r="E8" s="4">
        <v>1E-3</v>
      </c>
    </row>
    <row r="9" spans="1:13">
      <c r="A9" s="2"/>
      <c r="B9" s="2"/>
      <c r="C9" s="2"/>
      <c r="D9" s="2"/>
      <c r="E9" s="2"/>
    </row>
    <row r="10" spans="1:13">
      <c r="A10" s="2"/>
      <c r="B10" s="2"/>
      <c r="C10" s="2"/>
      <c r="D10" s="2"/>
      <c r="E10" s="2"/>
    </row>
    <row r="11" spans="1:13">
      <c r="A11" s="1" t="s">
        <v>9</v>
      </c>
      <c r="B11" s="1" t="s">
        <v>16</v>
      </c>
      <c r="C11" s="1" t="s">
        <v>17</v>
      </c>
      <c r="D11" s="1" t="s">
        <v>18</v>
      </c>
      <c r="E11" s="2"/>
    </row>
    <row r="12" spans="1:13">
      <c r="A12" s="2">
        <v>10000</v>
      </c>
      <c r="B12" s="4">
        <v>0</v>
      </c>
      <c r="C12" s="4">
        <v>0</v>
      </c>
      <c r="D12" s="4">
        <f>AVERAGE(B12:C12)</f>
        <v>0</v>
      </c>
      <c r="E12" s="2"/>
    </row>
    <row r="13" spans="1:13">
      <c r="A13" s="2">
        <v>20000</v>
      </c>
      <c r="B13" s="4">
        <v>0</v>
      </c>
      <c r="C13" s="4">
        <v>0</v>
      </c>
      <c r="D13" s="4">
        <f>AVERAGE(B13:C13)</f>
        <v>0</v>
      </c>
      <c r="E13" s="2"/>
    </row>
    <row r="14" spans="1:13">
      <c r="A14" s="2">
        <v>30000</v>
      </c>
      <c r="B14" s="4">
        <v>0</v>
      </c>
      <c r="C14" s="4">
        <v>0</v>
      </c>
      <c r="D14" s="4">
        <f>AVERAGE(B14:C14)</f>
        <v>0</v>
      </c>
      <c r="E14" s="2"/>
    </row>
    <row r="15" spans="1:13">
      <c r="A15" s="2">
        <v>50000</v>
      </c>
      <c r="B15" s="4">
        <v>1E-3</v>
      </c>
      <c r="C15" s="4">
        <v>0</v>
      </c>
      <c r="D15" s="4">
        <f>AVERAGE(B15:C15)</f>
        <v>5.0000000000000001E-4</v>
      </c>
      <c r="E15" s="2"/>
    </row>
    <row r="18" spans="1:13">
      <c r="A18" s="8" t="s">
        <v>19</v>
      </c>
      <c r="B18" s="8"/>
      <c r="C18" s="8"/>
      <c r="D18" s="8"/>
      <c r="E18" s="8"/>
      <c r="F18" s="8"/>
      <c r="G18" s="8"/>
      <c r="H18" s="8"/>
      <c r="I18" s="8"/>
      <c r="J18" s="8"/>
      <c r="K18" s="8"/>
      <c r="L18" s="8"/>
      <c r="M18" s="8"/>
    </row>
    <row r="19" spans="1:13">
      <c r="A19" s="9" t="s">
        <v>33</v>
      </c>
      <c r="B19" s="9"/>
      <c r="C19" s="9"/>
      <c r="D19" s="9"/>
      <c r="E19" s="9"/>
      <c r="F19" s="9"/>
      <c r="G19" s="9"/>
      <c r="H19" s="9"/>
      <c r="I19" s="9"/>
      <c r="J19" s="9"/>
      <c r="K19" s="9"/>
      <c r="L19" s="9"/>
      <c r="M19" s="9"/>
    </row>
    <row r="20" spans="1:13">
      <c r="A20" s="9"/>
      <c r="B20" s="9"/>
      <c r="C20" s="9"/>
      <c r="D20" s="9"/>
      <c r="E20" s="9"/>
      <c r="F20" s="9"/>
      <c r="G20" s="9"/>
      <c r="H20" s="9"/>
      <c r="I20" s="9"/>
      <c r="J20" s="9"/>
      <c r="K20" s="9"/>
      <c r="L20" s="9"/>
      <c r="M20" s="9"/>
    </row>
    <row r="21" spans="1:13">
      <c r="A21" s="9"/>
      <c r="B21" s="9"/>
      <c r="C21" s="9"/>
      <c r="D21" s="9"/>
      <c r="E21" s="9"/>
      <c r="F21" s="9"/>
      <c r="G21" s="9"/>
      <c r="H21" s="9"/>
      <c r="I21" s="9"/>
      <c r="J21" s="9"/>
      <c r="K21" s="9"/>
      <c r="L21" s="9"/>
      <c r="M21" s="9"/>
    </row>
    <row r="22" spans="1:13">
      <c r="A22" s="9"/>
      <c r="B22" s="9"/>
      <c r="C22" s="9"/>
      <c r="D22" s="9"/>
      <c r="E22" s="9"/>
      <c r="F22" s="9"/>
      <c r="G22" s="9"/>
      <c r="H22" s="9"/>
      <c r="I22" s="9"/>
      <c r="J22" s="9"/>
      <c r="K22" s="9"/>
      <c r="L22" s="9"/>
      <c r="M22" s="9"/>
    </row>
    <row r="23" spans="1:13">
      <c r="A23" s="9"/>
      <c r="B23" s="9"/>
      <c r="C23" s="9"/>
      <c r="D23" s="9"/>
      <c r="E23" s="9"/>
      <c r="F23" s="9"/>
      <c r="G23" s="9"/>
      <c r="H23" s="9"/>
      <c r="I23" s="9"/>
      <c r="J23" s="9"/>
      <c r="K23" s="9"/>
      <c r="L23" s="9"/>
      <c r="M23" s="9"/>
    </row>
  </sheetData>
  <mergeCells count="4">
    <mergeCell ref="A1:M1"/>
    <mergeCell ref="A2:M2"/>
    <mergeCell ref="A18:M18"/>
    <mergeCell ref="A19:M2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Experiemnts result</vt:lpstr>
      <vt:lpstr>Selection</vt:lpstr>
      <vt:lpstr>Insertion</vt:lpstr>
      <vt:lpstr>Merge</vt:lpstr>
      <vt:lpstr>Quick</vt:lpstr>
      <vt:lpstr>Heap</vt:lpstr>
      <vt:lpstr>Counting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baraa masri</cp:lastModifiedBy>
  <dcterms:modified xsi:type="dcterms:W3CDTF">2026-04-10T12:47:35Z</dcterms:modified>
</cp:coreProperties>
</file>